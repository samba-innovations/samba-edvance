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B6331096-2BD9-4CC1-AEDE-BE9B28130759}" xr6:coauthVersionLast="47" xr6:coauthVersionMax="47" xr10:uidLastSave="{00000000-0000-0000-0000-000000000000}"/>
  <bookViews>
    <workbookView xWindow="-120" yWindow="-120" windowWidth="29040" windowHeight="15720" firstSheet="2" activeTab="14" xr2:uid="{A351CC6D-D4F6-4A24-A014-B1D7C022020D}"/>
  </bookViews>
  <sheets>
    <sheet name="1ª ano" sheetId="1" r:id="rId1"/>
    <sheet name="2º  ano " sheetId="2" r:id="rId2"/>
    <sheet name="3º ano " sheetId="3" r:id="rId3"/>
    <sheet name="4ºano" sheetId="4" r:id="rId4"/>
    <sheet name="5º ano" sheetId="5" r:id="rId5"/>
    <sheet name="6º ano" sheetId="6" r:id="rId6"/>
    <sheet name="7º ano" sheetId="7" r:id="rId7"/>
    <sheet name="8º ano" sheetId="8" r:id="rId8"/>
    <sheet name="9º ano" sheetId="9" r:id="rId9"/>
    <sheet name="1ª Série" sheetId="10" r:id="rId10"/>
    <sheet name="2ª Série" sheetId="11" r:id="rId11"/>
    <sheet name="3ª Série" sheetId="12" r:id="rId12"/>
    <sheet name="base ef" sheetId="14" r:id="rId13"/>
    <sheet name="base em" sheetId="13" r:id="rId14"/>
    <sheet name="BASE GERAL" sheetId="15" r:id="rId15"/>
  </sheets>
  <definedNames>
    <definedName name="_xlnm._FilterDatabase" localSheetId="3" hidden="1">'4ºano'!$A$1:$B$13</definedName>
    <definedName name="_xlnm._FilterDatabase" localSheetId="12" hidden="1">'base ef'!$A$1:$B$418</definedName>
    <definedName name="_xlnm._FilterDatabase" localSheetId="13" hidden="1">'base em'!$A$1:$C$67</definedName>
    <definedName name="_xlnm._FilterDatabase" localSheetId="14" hidden="1">'BASE GERAL'!$A$1:$D$484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1" l="1"/>
  <c r="I12" i="11"/>
  <c r="I20" i="11"/>
  <c r="I22" i="11"/>
  <c r="K22" i="12"/>
  <c r="J22" i="12"/>
  <c r="D22" i="12"/>
  <c r="F22" i="12" s="1"/>
  <c r="G22" i="12" s="1"/>
  <c r="I22" i="12" s="1"/>
  <c r="K21" i="12"/>
  <c r="J21" i="12"/>
  <c r="D21" i="12"/>
  <c r="F21" i="12" s="1"/>
  <c r="G21" i="12" s="1"/>
  <c r="I21" i="12" s="1"/>
  <c r="K20" i="12"/>
  <c r="J20" i="12"/>
  <c r="D20" i="12"/>
  <c r="F20" i="12" s="1"/>
  <c r="G20" i="12" s="1"/>
  <c r="I20" i="12" s="1"/>
  <c r="K19" i="12"/>
  <c r="J19" i="12"/>
  <c r="D19" i="12"/>
  <c r="F19" i="12" s="1"/>
  <c r="G19" i="12" s="1"/>
  <c r="I19" i="12" s="1"/>
  <c r="K18" i="12"/>
  <c r="J18" i="12"/>
  <c r="D18" i="12"/>
  <c r="F18" i="12" s="1"/>
  <c r="G18" i="12" s="1"/>
  <c r="I18" i="12" s="1"/>
  <c r="K17" i="12"/>
  <c r="J17" i="12"/>
  <c r="D17" i="12"/>
  <c r="F17" i="12" s="1"/>
  <c r="G17" i="12" s="1"/>
  <c r="I17" i="12" s="1"/>
  <c r="K16" i="12"/>
  <c r="J16" i="12"/>
  <c r="D16" i="12"/>
  <c r="F16" i="12" s="1"/>
  <c r="G16" i="12" s="1"/>
  <c r="I16" i="12" s="1"/>
  <c r="K15" i="12"/>
  <c r="J15" i="12"/>
  <c r="D15" i="12"/>
  <c r="F15" i="12" s="1"/>
  <c r="G15" i="12" s="1"/>
  <c r="I15" i="12" s="1"/>
  <c r="K14" i="12"/>
  <c r="J14" i="12"/>
  <c r="D14" i="12"/>
  <c r="F14" i="12" s="1"/>
  <c r="G14" i="12" s="1"/>
  <c r="I14" i="12" s="1"/>
  <c r="K13" i="12"/>
  <c r="J13" i="12"/>
  <c r="F13" i="12"/>
  <c r="G13" i="12" s="1"/>
  <c r="I13" i="12" s="1"/>
  <c r="D13" i="12"/>
  <c r="K12" i="12"/>
  <c r="J12" i="12"/>
  <c r="D12" i="12"/>
  <c r="F12" i="12" s="1"/>
  <c r="G12" i="12" s="1"/>
  <c r="I12" i="12" s="1"/>
  <c r="K11" i="12"/>
  <c r="J11" i="12"/>
  <c r="D11" i="12"/>
  <c r="F11" i="12" s="1"/>
  <c r="G11" i="12" s="1"/>
  <c r="I11" i="12" s="1"/>
  <c r="K10" i="12"/>
  <c r="J10" i="12"/>
  <c r="D10" i="12"/>
  <c r="F10" i="12" s="1"/>
  <c r="G10" i="12" s="1"/>
  <c r="I10" i="12" s="1"/>
  <c r="K9" i="12"/>
  <c r="J9" i="12"/>
  <c r="D9" i="12"/>
  <c r="F9" i="12" s="1"/>
  <c r="G9" i="12" s="1"/>
  <c r="I9" i="12" s="1"/>
  <c r="K8" i="12"/>
  <c r="J8" i="12"/>
  <c r="D8" i="12"/>
  <c r="F8" i="12" s="1"/>
  <c r="G8" i="12" s="1"/>
  <c r="I8" i="12" s="1"/>
  <c r="K7" i="12"/>
  <c r="J7" i="12"/>
  <c r="F7" i="12"/>
  <c r="G7" i="12" s="1"/>
  <c r="I7" i="12" s="1"/>
  <c r="D7" i="12"/>
  <c r="K6" i="12"/>
  <c r="J6" i="12"/>
  <c r="F6" i="12"/>
  <c r="G6" i="12" s="1"/>
  <c r="I6" i="12" s="1"/>
  <c r="D6" i="12"/>
  <c r="K5" i="12"/>
  <c r="J5" i="12"/>
  <c r="D5" i="12"/>
  <c r="F5" i="12" s="1"/>
  <c r="G5" i="12" s="1"/>
  <c r="I5" i="12" s="1"/>
  <c r="K4" i="12"/>
  <c r="J4" i="12"/>
  <c r="F4" i="12"/>
  <c r="G4" i="12" s="1"/>
  <c r="I4" i="12" s="1"/>
  <c r="D4" i="12"/>
  <c r="K3" i="12"/>
  <c r="J3" i="12"/>
  <c r="F3" i="12"/>
  <c r="G3" i="12" s="1"/>
  <c r="I3" i="12" s="1"/>
  <c r="D3" i="12"/>
  <c r="K2" i="12"/>
  <c r="J2" i="12"/>
  <c r="D2" i="12"/>
  <c r="F2" i="12" s="1"/>
  <c r="G2" i="12" s="1"/>
  <c r="I2" i="12" s="1"/>
  <c r="K22" i="11"/>
  <c r="J22" i="11"/>
  <c r="D22" i="11"/>
  <c r="F22" i="11" s="1"/>
  <c r="G22" i="11" s="1"/>
  <c r="K21" i="11"/>
  <c r="J21" i="11"/>
  <c r="D21" i="11"/>
  <c r="F21" i="11" s="1"/>
  <c r="G21" i="11" s="1"/>
  <c r="I21" i="11" s="1"/>
  <c r="K20" i="11"/>
  <c r="J20" i="11"/>
  <c r="D20" i="11"/>
  <c r="F20" i="11" s="1"/>
  <c r="G20" i="11" s="1"/>
  <c r="K19" i="11"/>
  <c r="J19" i="11"/>
  <c r="D19" i="11"/>
  <c r="F19" i="11" s="1"/>
  <c r="G19" i="11" s="1"/>
  <c r="I19" i="11" s="1"/>
  <c r="K18" i="11"/>
  <c r="J18" i="11"/>
  <c r="D18" i="11"/>
  <c r="F18" i="11" s="1"/>
  <c r="G18" i="11" s="1"/>
  <c r="I18" i="11" s="1"/>
  <c r="K17" i="11"/>
  <c r="J17" i="11"/>
  <c r="D17" i="11"/>
  <c r="F17" i="11" s="1"/>
  <c r="G17" i="11" s="1"/>
  <c r="I17" i="11" s="1"/>
  <c r="K16" i="11"/>
  <c r="J16" i="11"/>
  <c r="D16" i="11"/>
  <c r="F16" i="11" s="1"/>
  <c r="G16" i="11" s="1"/>
  <c r="I16" i="11" s="1"/>
  <c r="K15" i="11"/>
  <c r="J15" i="11"/>
  <c r="D15" i="11"/>
  <c r="F15" i="11" s="1"/>
  <c r="G15" i="11" s="1"/>
  <c r="I15" i="11" s="1"/>
  <c r="K14" i="11"/>
  <c r="J14" i="11"/>
  <c r="D14" i="11"/>
  <c r="F14" i="11" s="1"/>
  <c r="G14" i="11" s="1"/>
  <c r="I14" i="11" s="1"/>
  <c r="K13" i="11"/>
  <c r="J13" i="11"/>
  <c r="D13" i="11"/>
  <c r="F13" i="11" s="1"/>
  <c r="G13" i="11" s="1"/>
  <c r="I13" i="11" s="1"/>
  <c r="K12" i="11"/>
  <c r="J12" i="11"/>
  <c r="D12" i="11"/>
  <c r="F12" i="11" s="1"/>
  <c r="G12" i="11" s="1"/>
  <c r="K11" i="11"/>
  <c r="J11" i="11"/>
  <c r="D11" i="11"/>
  <c r="F11" i="11" s="1"/>
  <c r="G11" i="11" s="1"/>
  <c r="K10" i="11"/>
  <c r="J10" i="11"/>
  <c r="D10" i="11"/>
  <c r="F10" i="11" s="1"/>
  <c r="G10" i="11" s="1"/>
  <c r="I10" i="11" s="1"/>
  <c r="K9" i="11"/>
  <c r="J9" i="11"/>
  <c r="D9" i="11"/>
  <c r="F9" i="11" s="1"/>
  <c r="G9" i="11" s="1"/>
  <c r="I9" i="11" s="1"/>
  <c r="K8" i="11"/>
  <c r="J8" i="11"/>
  <c r="D8" i="11"/>
  <c r="F8" i="11" s="1"/>
  <c r="G8" i="11" s="1"/>
  <c r="I8" i="11" s="1"/>
  <c r="K7" i="11"/>
  <c r="J7" i="11"/>
  <c r="D7" i="11"/>
  <c r="F7" i="11" s="1"/>
  <c r="G7" i="11" s="1"/>
  <c r="I7" i="11" s="1"/>
  <c r="K6" i="11"/>
  <c r="J6" i="11"/>
  <c r="D6" i="11"/>
  <c r="F6" i="11" s="1"/>
  <c r="G6" i="11" s="1"/>
  <c r="I6" i="11" s="1"/>
  <c r="K5" i="11"/>
  <c r="J5" i="11"/>
  <c r="D5" i="11"/>
  <c r="F5" i="11" s="1"/>
  <c r="G5" i="11" s="1"/>
  <c r="I5" i="11" s="1"/>
  <c r="K4" i="11"/>
  <c r="J4" i="11"/>
  <c r="D4" i="11"/>
  <c r="F4" i="11" s="1"/>
  <c r="G4" i="11" s="1"/>
  <c r="I4" i="11" s="1"/>
  <c r="K3" i="11"/>
  <c r="J3" i="11"/>
  <c r="D3" i="11"/>
  <c r="F3" i="11" s="1"/>
  <c r="G3" i="11" s="1"/>
  <c r="I3" i="11" s="1"/>
  <c r="K2" i="11"/>
  <c r="J2" i="11"/>
  <c r="D2" i="11"/>
  <c r="F2" i="11" s="1"/>
  <c r="G2" i="11" s="1"/>
  <c r="I2" i="11" s="1"/>
  <c r="F3" i="10"/>
  <c r="F4" i="10"/>
  <c r="F5" i="10"/>
  <c r="F6" i="10"/>
  <c r="F7" i="10"/>
  <c r="F8" i="10"/>
  <c r="F9" i="10"/>
  <c r="G9" i="10" s="1"/>
  <c r="I9" i="10" s="1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D3" i="10"/>
  <c r="D4" i="10"/>
  <c r="D5" i="10"/>
  <c r="D6" i="10"/>
  <c r="D7" i="10"/>
  <c r="G7" i="10" s="1"/>
  <c r="I7" i="10" s="1"/>
  <c r="D8" i="10"/>
  <c r="D9" i="10"/>
  <c r="D10" i="10"/>
  <c r="G10" i="10" s="1"/>
  <c r="I10" i="10" s="1"/>
  <c r="D11" i="10"/>
  <c r="G11" i="10" s="1"/>
  <c r="I11" i="10" s="1"/>
  <c r="D12" i="10"/>
  <c r="D13" i="10"/>
  <c r="D14" i="10"/>
  <c r="D15" i="10"/>
  <c r="D16" i="10"/>
  <c r="D17" i="10"/>
  <c r="D18" i="10"/>
  <c r="D19" i="10"/>
  <c r="G19" i="10" s="1"/>
  <c r="I19" i="10" s="1"/>
  <c r="D20" i="10"/>
  <c r="D21" i="10"/>
  <c r="D22" i="10"/>
  <c r="G22" i="10" s="1"/>
  <c r="I22" i="10" s="1"/>
  <c r="D23" i="10"/>
  <c r="D24" i="10"/>
  <c r="D25" i="10"/>
  <c r="D2" i="10"/>
  <c r="G2" i="10" s="1"/>
  <c r="I2" i="10" s="1"/>
  <c r="K25" i="10"/>
  <c r="J25" i="10"/>
  <c r="K24" i="10"/>
  <c r="J24" i="10"/>
  <c r="K23" i="10"/>
  <c r="J23" i="10"/>
  <c r="K22" i="10"/>
  <c r="J22" i="10"/>
  <c r="K21" i="10"/>
  <c r="J21" i="10"/>
  <c r="K20" i="10"/>
  <c r="J20" i="10"/>
  <c r="G20" i="10"/>
  <c r="I20" i="10" s="1"/>
  <c r="K19" i="10"/>
  <c r="J19" i="10"/>
  <c r="K18" i="10"/>
  <c r="J18" i="10"/>
  <c r="G18" i="10"/>
  <c r="I18" i="10" s="1"/>
  <c r="K17" i="10"/>
  <c r="J17" i="10"/>
  <c r="G17" i="10"/>
  <c r="I17" i="10" s="1"/>
  <c r="K16" i="10"/>
  <c r="J16" i="10"/>
  <c r="G16" i="10"/>
  <c r="I16" i="10" s="1"/>
  <c r="K15" i="10"/>
  <c r="J15" i="10"/>
  <c r="G15" i="10"/>
  <c r="I15" i="10" s="1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G8" i="10"/>
  <c r="I8" i="10" s="1"/>
  <c r="K7" i="10"/>
  <c r="J7" i="10"/>
  <c r="K6" i="10"/>
  <c r="J6" i="10"/>
  <c r="G6" i="10"/>
  <c r="I6" i="10" s="1"/>
  <c r="K5" i="10"/>
  <c r="J5" i="10"/>
  <c r="G5" i="10"/>
  <c r="I5" i="10" s="1"/>
  <c r="K4" i="10"/>
  <c r="J4" i="10"/>
  <c r="G4" i="10"/>
  <c r="I4" i="10" s="1"/>
  <c r="K3" i="10"/>
  <c r="J3" i="10"/>
  <c r="G3" i="10"/>
  <c r="I3" i="10" s="1"/>
  <c r="K2" i="10"/>
  <c r="J2" i="10"/>
  <c r="L51" i="9"/>
  <c r="K51" i="9"/>
  <c r="D51" i="9"/>
  <c r="G51" i="9" s="1"/>
  <c r="H51" i="9" s="1"/>
  <c r="J51" i="9" s="1"/>
  <c r="L50" i="9"/>
  <c r="K50" i="9"/>
  <c r="D50" i="9"/>
  <c r="G50" i="9" s="1"/>
  <c r="H50" i="9" s="1"/>
  <c r="J50" i="9" s="1"/>
  <c r="L49" i="9"/>
  <c r="K49" i="9"/>
  <c r="D49" i="9"/>
  <c r="G49" i="9" s="1"/>
  <c r="H49" i="9" s="1"/>
  <c r="J49" i="9" s="1"/>
  <c r="L48" i="9"/>
  <c r="K48" i="9"/>
  <c r="D48" i="9"/>
  <c r="G48" i="9" s="1"/>
  <c r="H48" i="9" s="1"/>
  <c r="J48" i="9" s="1"/>
  <c r="L47" i="9"/>
  <c r="K47" i="9"/>
  <c r="D47" i="9"/>
  <c r="G47" i="9" s="1"/>
  <c r="H47" i="9" s="1"/>
  <c r="J47" i="9" s="1"/>
  <c r="L46" i="9"/>
  <c r="K46" i="9"/>
  <c r="D46" i="9"/>
  <c r="G46" i="9" s="1"/>
  <c r="H46" i="9" s="1"/>
  <c r="J46" i="9" s="1"/>
  <c r="L45" i="9"/>
  <c r="K45" i="9"/>
  <c r="D45" i="9"/>
  <c r="G45" i="9" s="1"/>
  <c r="H45" i="9" s="1"/>
  <c r="J45" i="9" s="1"/>
  <c r="L44" i="9"/>
  <c r="K44" i="9"/>
  <c r="D44" i="9"/>
  <c r="G44" i="9" s="1"/>
  <c r="H44" i="9" s="1"/>
  <c r="J44" i="9" s="1"/>
  <c r="L43" i="9"/>
  <c r="K43" i="9"/>
  <c r="D43" i="9"/>
  <c r="G43" i="9" s="1"/>
  <c r="H43" i="9" s="1"/>
  <c r="J43" i="9" s="1"/>
  <c r="L42" i="9"/>
  <c r="K42" i="9"/>
  <c r="D42" i="9"/>
  <c r="G42" i="9" s="1"/>
  <c r="H42" i="9" s="1"/>
  <c r="J42" i="9" s="1"/>
  <c r="L41" i="9"/>
  <c r="K41" i="9"/>
  <c r="D41" i="9"/>
  <c r="G41" i="9" s="1"/>
  <c r="H41" i="9" s="1"/>
  <c r="J41" i="9" s="1"/>
  <c r="L40" i="9"/>
  <c r="K40" i="9"/>
  <c r="D40" i="9"/>
  <c r="G40" i="9" s="1"/>
  <c r="H40" i="9" s="1"/>
  <c r="J40" i="9" s="1"/>
  <c r="L39" i="9"/>
  <c r="K39" i="9"/>
  <c r="D39" i="9"/>
  <c r="G39" i="9" s="1"/>
  <c r="H39" i="9" s="1"/>
  <c r="J39" i="9" s="1"/>
  <c r="L38" i="9"/>
  <c r="K38" i="9"/>
  <c r="D38" i="9"/>
  <c r="G38" i="9" s="1"/>
  <c r="H38" i="9" s="1"/>
  <c r="J38" i="9" s="1"/>
  <c r="L37" i="9"/>
  <c r="K37" i="9"/>
  <c r="D37" i="9"/>
  <c r="G37" i="9" s="1"/>
  <c r="H37" i="9" s="1"/>
  <c r="J37" i="9" s="1"/>
  <c r="L36" i="9"/>
  <c r="K36" i="9"/>
  <c r="D36" i="9"/>
  <c r="G36" i="9" s="1"/>
  <c r="H36" i="9" s="1"/>
  <c r="J36" i="9" s="1"/>
  <c r="L35" i="9"/>
  <c r="K35" i="9"/>
  <c r="D35" i="9"/>
  <c r="G35" i="9" s="1"/>
  <c r="H35" i="9" s="1"/>
  <c r="J35" i="9" s="1"/>
  <c r="L34" i="9"/>
  <c r="K34" i="9"/>
  <c r="D34" i="9"/>
  <c r="G34" i="9" s="1"/>
  <c r="H34" i="9" s="1"/>
  <c r="J34" i="9" s="1"/>
  <c r="L33" i="9"/>
  <c r="K33" i="9"/>
  <c r="D33" i="9"/>
  <c r="G33" i="9" s="1"/>
  <c r="H33" i="9" s="1"/>
  <c r="J33" i="9" s="1"/>
  <c r="L32" i="9"/>
  <c r="K32" i="9"/>
  <c r="D32" i="9"/>
  <c r="G32" i="9" s="1"/>
  <c r="H32" i="9" s="1"/>
  <c r="J32" i="9" s="1"/>
  <c r="L31" i="9"/>
  <c r="K31" i="9"/>
  <c r="D31" i="9"/>
  <c r="G31" i="9" s="1"/>
  <c r="H31" i="9" s="1"/>
  <c r="J31" i="9" s="1"/>
  <c r="L30" i="9"/>
  <c r="K30" i="9"/>
  <c r="D30" i="9"/>
  <c r="G30" i="9" s="1"/>
  <c r="H30" i="9" s="1"/>
  <c r="J30" i="9" s="1"/>
  <c r="L29" i="9"/>
  <c r="K29" i="9"/>
  <c r="D29" i="9"/>
  <c r="G29" i="9" s="1"/>
  <c r="H29" i="9" s="1"/>
  <c r="J29" i="9" s="1"/>
  <c r="L28" i="9"/>
  <c r="K28" i="9"/>
  <c r="D28" i="9"/>
  <c r="G28" i="9" s="1"/>
  <c r="H28" i="9" s="1"/>
  <c r="J28" i="9" s="1"/>
  <c r="L27" i="9"/>
  <c r="K27" i="9"/>
  <c r="D27" i="9"/>
  <c r="G27" i="9" s="1"/>
  <c r="H27" i="9" s="1"/>
  <c r="J27" i="9" s="1"/>
  <c r="L26" i="9"/>
  <c r="K26" i="9"/>
  <c r="D26" i="9"/>
  <c r="G26" i="9" s="1"/>
  <c r="H26" i="9" s="1"/>
  <c r="J26" i="9" s="1"/>
  <c r="L25" i="9"/>
  <c r="K25" i="9"/>
  <c r="D25" i="9"/>
  <c r="G25" i="9" s="1"/>
  <c r="H25" i="9" s="1"/>
  <c r="J25" i="9" s="1"/>
  <c r="L24" i="9"/>
  <c r="K24" i="9"/>
  <c r="D24" i="9"/>
  <c r="G24" i="9" s="1"/>
  <c r="H24" i="9" s="1"/>
  <c r="J24" i="9" s="1"/>
  <c r="L23" i="9"/>
  <c r="K23" i="9"/>
  <c r="D23" i="9"/>
  <c r="G23" i="9" s="1"/>
  <c r="H23" i="9" s="1"/>
  <c r="J23" i="9" s="1"/>
  <c r="L22" i="9"/>
  <c r="K22" i="9"/>
  <c r="D22" i="9"/>
  <c r="G22" i="9" s="1"/>
  <c r="H22" i="9" s="1"/>
  <c r="J22" i="9" s="1"/>
  <c r="L21" i="9"/>
  <c r="K21" i="9"/>
  <c r="D21" i="9"/>
  <c r="G21" i="9" s="1"/>
  <c r="H21" i="9" s="1"/>
  <c r="J21" i="9" s="1"/>
  <c r="L20" i="9"/>
  <c r="K20" i="9"/>
  <c r="D20" i="9"/>
  <c r="G20" i="9" s="1"/>
  <c r="H20" i="9" s="1"/>
  <c r="J20" i="9" s="1"/>
  <c r="L19" i="9"/>
  <c r="K19" i="9"/>
  <c r="D19" i="9"/>
  <c r="G19" i="9" s="1"/>
  <c r="H19" i="9" s="1"/>
  <c r="J19" i="9" s="1"/>
  <c r="L18" i="9"/>
  <c r="K18" i="9"/>
  <c r="D18" i="9"/>
  <c r="G18" i="9" s="1"/>
  <c r="H18" i="9" s="1"/>
  <c r="J18" i="9" s="1"/>
  <c r="L17" i="9"/>
  <c r="K17" i="9"/>
  <c r="D17" i="9"/>
  <c r="G17" i="9" s="1"/>
  <c r="H17" i="9" s="1"/>
  <c r="J17" i="9" s="1"/>
  <c r="L16" i="9"/>
  <c r="K16" i="9"/>
  <c r="D16" i="9"/>
  <c r="G16" i="9" s="1"/>
  <c r="H16" i="9" s="1"/>
  <c r="J16" i="9" s="1"/>
  <c r="L15" i="9"/>
  <c r="K15" i="9"/>
  <c r="D15" i="9"/>
  <c r="G15" i="9" s="1"/>
  <c r="H15" i="9" s="1"/>
  <c r="J15" i="9" s="1"/>
  <c r="L14" i="9"/>
  <c r="K14" i="9"/>
  <c r="D14" i="9"/>
  <c r="G14" i="9" s="1"/>
  <c r="H14" i="9" s="1"/>
  <c r="J14" i="9" s="1"/>
  <c r="L13" i="9"/>
  <c r="K13" i="9"/>
  <c r="D13" i="9"/>
  <c r="G13" i="9" s="1"/>
  <c r="H13" i="9" s="1"/>
  <c r="J13" i="9" s="1"/>
  <c r="L12" i="9"/>
  <c r="K12" i="9"/>
  <c r="D12" i="9"/>
  <c r="G12" i="9" s="1"/>
  <c r="H12" i="9" s="1"/>
  <c r="J12" i="9" s="1"/>
  <c r="L11" i="9"/>
  <c r="K11" i="9"/>
  <c r="D11" i="9"/>
  <c r="G11" i="9" s="1"/>
  <c r="H11" i="9" s="1"/>
  <c r="J11" i="9" s="1"/>
  <c r="L10" i="9"/>
  <c r="K10" i="9"/>
  <c r="D10" i="9"/>
  <c r="G10" i="9" s="1"/>
  <c r="H10" i="9" s="1"/>
  <c r="J10" i="9" s="1"/>
  <c r="L9" i="9"/>
  <c r="K9" i="9"/>
  <c r="D9" i="9"/>
  <c r="G9" i="9" s="1"/>
  <c r="H9" i="9" s="1"/>
  <c r="J9" i="9" s="1"/>
  <c r="L8" i="9"/>
  <c r="K8" i="9"/>
  <c r="D8" i="9"/>
  <c r="G8" i="9" s="1"/>
  <c r="H8" i="9" s="1"/>
  <c r="J8" i="9" s="1"/>
  <c r="L7" i="9"/>
  <c r="K7" i="9"/>
  <c r="D7" i="9"/>
  <c r="G7" i="9" s="1"/>
  <c r="H7" i="9" s="1"/>
  <c r="J7" i="9" s="1"/>
  <c r="L6" i="9"/>
  <c r="K6" i="9"/>
  <c r="D6" i="9"/>
  <c r="G6" i="9" s="1"/>
  <c r="H6" i="9" s="1"/>
  <c r="J6" i="9" s="1"/>
  <c r="L5" i="9"/>
  <c r="K5" i="9"/>
  <c r="D5" i="9"/>
  <c r="G5" i="9" s="1"/>
  <c r="H5" i="9" s="1"/>
  <c r="J5" i="9" s="1"/>
  <c r="L4" i="9"/>
  <c r="K4" i="9"/>
  <c r="D4" i="9"/>
  <c r="G4" i="9" s="1"/>
  <c r="H4" i="9" s="1"/>
  <c r="J4" i="9" s="1"/>
  <c r="L3" i="9"/>
  <c r="K3" i="9"/>
  <c r="D3" i="9"/>
  <c r="G3" i="9" s="1"/>
  <c r="H3" i="9" s="1"/>
  <c r="J3" i="9" s="1"/>
  <c r="L2" i="9"/>
  <c r="K2" i="9"/>
  <c r="D2" i="9"/>
  <c r="G2" i="9" s="1"/>
  <c r="H2" i="9" s="1"/>
  <c r="J2" i="9" s="1"/>
  <c r="L51" i="8"/>
  <c r="K51" i="8"/>
  <c r="D51" i="8"/>
  <c r="G51" i="8" s="1"/>
  <c r="H51" i="8" s="1"/>
  <c r="J51" i="8" s="1"/>
  <c r="L50" i="8"/>
  <c r="K50" i="8"/>
  <c r="D50" i="8"/>
  <c r="G50" i="8" s="1"/>
  <c r="H50" i="8" s="1"/>
  <c r="J50" i="8" s="1"/>
  <c r="L49" i="8"/>
  <c r="K49" i="8"/>
  <c r="D49" i="8"/>
  <c r="G49" i="8" s="1"/>
  <c r="H49" i="8" s="1"/>
  <c r="J49" i="8" s="1"/>
  <c r="L48" i="8"/>
  <c r="K48" i="8"/>
  <c r="D48" i="8"/>
  <c r="G48" i="8" s="1"/>
  <c r="H48" i="8" s="1"/>
  <c r="J48" i="8" s="1"/>
  <c r="L47" i="8"/>
  <c r="K47" i="8"/>
  <c r="D47" i="8"/>
  <c r="G47" i="8" s="1"/>
  <c r="H47" i="8" s="1"/>
  <c r="J47" i="8" s="1"/>
  <c r="L46" i="8"/>
  <c r="K46" i="8"/>
  <c r="D46" i="8"/>
  <c r="G46" i="8" s="1"/>
  <c r="H46" i="8" s="1"/>
  <c r="J46" i="8" s="1"/>
  <c r="L45" i="8"/>
  <c r="K45" i="8"/>
  <c r="D45" i="8"/>
  <c r="G45" i="8" s="1"/>
  <c r="H45" i="8" s="1"/>
  <c r="J45" i="8" s="1"/>
  <c r="L44" i="8"/>
  <c r="K44" i="8"/>
  <c r="D44" i="8"/>
  <c r="G44" i="8" s="1"/>
  <c r="H44" i="8" s="1"/>
  <c r="J44" i="8" s="1"/>
  <c r="L43" i="8"/>
  <c r="K43" i="8"/>
  <c r="D43" i="8"/>
  <c r="G43" i="8" s="1"/>
  <c r="H43" i="8" s="1"/>
  <c r="J43" i="8" s="1"/>
  <c r="L42" i="8"/>
  <c r="K42" i="8"/>
  <c r="D42" i="8"/>
  <c r="G42" i="8" s="1"/>
  <c r="H42" i="8" s="1"/>
  <c r="J42" i="8" s="1"/>
  <c r="L41" i="8"/>
  <c r="K41" i="8"/>
  <c r="D41" i="8"/>
  <c r="G41" i="8" s="1"/>
  <c r="H41" i="8" s="1"/>
  <c r="J41" i="8" s="1"/>
  <c r="L40" i="8"/>
  <c r="K40" i="8"/>
  <c r="D40" i="8"/>
  <c r="G40" i="8" s="1"/>
  <c r="H40" i="8" s="1"/>
  <c r="J40" i="8" s="1"/>
  <c r="L39" i="8"/>
  <c r="K39" i="8"/>
  <c r="D39" i="8"/>
  <c r="G39" i="8" s="1"/>
  <c r="H39" i="8" s="1"/>
  <c r="J39" i="8" s="1"/>
  <c r="L38" i="8"/>
  <c r="K38" i="8"/>
  <c r="D38" i="8"/>
  <c r="G38" i="8" s="1"/>
  <c r="H38" i="8" s="1"/>
  <c r="J38" i="8" s="1"/>
  <c r="L37" i="8"/>
  <c r="K37" i="8"/>
  <c r="D37" i="8"/>
  <c r="G37" i="8" s="1"/>
  <c r="H37" i="8" s="1"/>
  <c r="J37" i="8" s="1"/>
  <c r="L36" i="8"/>
  <c r="K36" i="8"/>
  <c r="D36" i="8"/>
  <c r="G36" i="8" s="1"/>
  <c r="H36" i="8" s="1"/>
  <c r="J36" i="8" s="1"/>
  <c r="L35" i="8"/>
  <c r="K35" i="8"/>
  <c r="D35" i="8"/>
  <c r="G35" i="8" s="1"/>
  <c r="H35" i="8" s="1"/>
  <c r="J35" i="8" s="1"/>
  <c r="L34" i="8"/>
  <c r="K34" i="8"/>
  <c r="D34" i="8"/>
  <c r="G34" i="8" s="1"/>
  <c r="H34" i="8" s="1"/>
  <c r="J34" i="8" s="1"/>
  <c r="L33" i="8"/>
  <c r="K33" i="8"/>
  <c r="D33" i="8"/>
  <c r="G33" i="8" s="1"/>
  <c r="H33" i="8" s="1"/>
  <c r="J33" i="8" s="1"/>
  <c r="L32" i="8"/>
  <c r="K32" i="8"/>
  <c r="D32" i="8"/>
  <c r="G32" i="8" s="1"/>
  <c r="H32" i="8" s="1"/>
  <c r="J32" i="8" s="1"/>
  <c r="L31" i="8"/>
  <c r="K31" i="8"/>
  <c r="D31" i="8"/>
  <c r="G31" i="8" s="1"/>
  <c r="H31" i="8" s="1"/>
  <c r="J31" i="8" s="1"/>
  <c r="L30" i="8"/>
  <c r="K30" i="8"/>
  <c r="D30" i="8"/>
  <c r="G30" i="8" s="1"/>
  <c r="H30" i="8" s="1"/>
  <c r="J30" i="8" s="1"/>
  <c r="L29" i="8"/>
  <c r="K29" i="8"/>
  <c r="D29" i="8"/>
  <c r="G29" i="8" s="1"/>
  <c r="H29" i="8" s="1"/>
  <c r="J29" i="8" s="1"/>
  <c r="L28" i="8"/>
  <c r="K28" i="8"/>
  <c r="D28" i="8"/>
  <c r="G28" i="8" s="1"/>
  <c r="H28" i="8" s="1"/>
  <c r="J28" i="8" s="1"/>
  <c r="L27" i="8"/>
  <c r="K27" i="8"/>
  <c r="D27" i="8"/>
  <c r="G27" i="8" s="1"/>
  <c r="H27" i="8" s="1"/>
  <c r="J27" i="8" s="1"/>
  <c r="L26" i="8"/>
  <c r="K26" i="8"/>
  <c r="D26" i="8"/>
  <c r="G26" i="8" s="1"/>
  <c r="H26" i="8" s="1"/>
  <c r="J26" i="8" s="1"/>
  <c r="L25" i="8"/>
  <c r="K25" i="8"/>
  <c r="D25" i="8"/>
  <c r="G25" i="8" s="1"/>
  <c r="H25" i="8" s="1"/>
  <c r="J25" i="8" s="1"/>
  <c r="L24" i="8"/>
  <c r="K24" i="8"/>
  <c r="D24" i="8"/>
  <c r="G24" i="8" s="1"/>
  <c r="H24" i="8" s="1"/>
  <c r="J24" i="8" s="1"/>
  <c r="L23" i="8"/>
  <c r="K23" i="8"/>
  <c r="D23" i="8"/>
  <c r="G23" i="8" s="1"/>
  <c r="H23" i="8" s="1"/>
  <c r="J23" i="8" s="1"/>
  <c r="L22" i="8"/>
  <c r="K22" i="8"/>
  <c r="D22" i="8"/>
  <c r="G22" i="8" s="1"/>
  <c r="H22" i="8" s="1"/>
  <c r="J22" i="8" s="1"/>
  <c r="L21" i="8"/>
  <c r="K21" i="8"/>
  <c r="D21" i="8"/>
  <c r="G21" i="8" s="1"/>
  <c r="H21" i="8" s="1"/>
  <c r="J21" i="8" s="1"/>
  <c r="L20" i="8"/>
  <c r="K20" i="8"/>
  <c r="D20" i="8"/>
  <c r="G20" i="8" s="1"/>
  <c r="H20" i="8" s="1"/>
  <c r="J20" i="8" s="1"/>
  <c r="L19" i="8"/>
  <c r="K19" i="8"/>
  <c r="D19" i="8"/>
  <c r="G19" i="8" s="1"/>
  <c r="H19" i="8" s="1"/>
  <c r="J19" i="8" s="1"/>
  <c r="L18" i="8"/>
  <c r="K18" i="8"/>
  <c r="D18" i="8"/>
  <c r="G18" i="8" s="1"/>
  <c r="H18" i="8" s="1"/>
  <c r="J18" i="8" s="1"/>
  <c r="L17" i="8"/>
  <c r="K17" i="8"/>
  <c r="D17" i="8"/>
  <c r="G17" i="8" s="1"/>
  <c r="H17" i="8" s="1"/>
  <c r="J17" i="8" s="1"/>
  <c r="L16" i="8"/>
  <c r="K16" i="8"/>
  <c r="D16" i="8"/>
  <c r="G16" i="8" s="1"/>
  <c r="H16" i="8" s="1"/>
  <c r="J16" i="8" s="1"/>
  <c r="L15" i="8"/>
  <c r="K15" i="8"/>
  <c r="D15" i="8"/>
  <c r="G15" i="8" s="1"/>
  <c r="H15" i="8" s="1"/>
  <c r="J15" i="8" s="1"/>
  <c r="L14" i="8"/>
  <c r="K14" i="8"/>
  <c r="D14" i="8"/>
  <c r="G14" i="8" s="1"/>
  <c r="H14" i="8" s="1"/>
  <c r="J14" i="8" s="1"/>
  <c r="L13" i="8"/>
  <c r="K13" i="8"/>
  <c r="D13" i="8"/>
  <c r="G13" i="8" s="1"/>
  <c r="H13" i="8" s="1"/>
  <c r="J13" i="8" s="1"/>
  <c r="L12" i="8"/>
  <c r="K12" i="8"/>
  <c r="D12" i="8"/>
  <c r="G12" i="8" s="1"/>
  <c r="H12" i="8" s="1"/>
  <c r="J12" i="8" s="1"/>
  <c r="L11" i="8"/>
  <c r="K11" i="8"/>
  <c r="D11" i="8"/>
  <c r="G11" i="8" s="1"/>
  <c r="H11" i="8" s="1"/>
  <c r="J11" i="8" s="1"/>
  <c r="L10" i="8"/>
  <c r="K10" i="8"/>
  <c r="D10" i="8"/>
  <c r="G10" i="8" s="1"/>
  <c r="H10" i="8" s="1"/>
  <c r="J10" i="8" s="1"/>
  <c r="L9" i="8"/>
  <c r="K9" i="8"/>
  <c r="D9" i="8"/>
  <c r="G9" i="8" s="1"/>
  <c r="H9" i="8" s="1"/>
  <c r="J9" i="8" s="1"/>
  <c r="L8" i="8"/>
  <c r="K8" i="8"/>
  <c r="D8" i="8"/>
  <c r="G8" i="8" s="1"/>
  <c r="H8" i="8" s="1"/>
  <c r="J8" i="8" s="1"/>
  <c r="L7" i="8"/>
  <c r="K7" i="8"/>
  <c r="D7" i="8"/>
  <c r="G7" i="8" s="1"/>
  <c r="H7" i="8" s="1"/>
  <c r="J7" i="8" s="1"/>
  <c r="L6" i="8"/>
  <c r="K6" i="8"/>
  <c r="D6" i="8"/>
  <c r="G6" i="8" s="1"/>
  <c r="H6" i="8" s="1"/>
  <c r="J6" i="8" s="1"/>
  <c r="L5" i="8"/>
  <c r="K5" i="8"/>
  <c r="D5" i="8"/>
  <c r="G5" i="8" s="1"/>
  <c r="H5" i="8" s="1"/>
  <c r="J5" i="8" s="1"/>
  <c r="L4" i="8"/>
  <c r="K4" i="8"/>
  <c r="D4" i="8"/>
  <c r="G4" i="8" s="1"/>
  <c r="H4" i="8" s="1"/>
  <c r="J4" i="8" s="1"/>
  <c r="L3" i="8"/>
  <c r="K3" i="8"/>
  <c r="D3" i="8"/>
  <c r="G3" i="8" s="1"/>
  <c r="H3" i="8" s="1"/>
  <c r="J3" i="8" s="1"/>
  <c r="L2" i="8"/>
  <c r="K2" i="8"/>
  <c r="D2" i="8"/>
  <c r="G2" i="8" s="1"/>
  <c r="H2" i="8" s="1"/>
  <c r="J2" i="8" s="1"/>
  <c r="L51" i="7"/>
  <c r="K51" i="7"/>
  <c r="G51" i="7"/>
  <c r="H51" i="7" s="1"/>
  <c r="J51" i="7" s="1"/>
  <c r="D51" i="7"/>
  <c r="L50" i="7"/>
  <c r="K50" i="7"/>
  <c r="G50" i="7"/>
  <c r="H50" i="7" s="1"/>
  <c r="J50" i="7" s="1"/>
  <c r="D50" i="7"/>
  <c r="L49" i="7"/>
  <c r="K49" i="7"/>
  <c r="G49" i="7"/>
  <c r="H49" i="7" s="1"/>
  <c r="J49" i="7" s="1"/>
  <c r="D49" i="7"/>
  <c r="L48" i="7"/>
  <c r="K48" i="7"/>
  <c r="G48" i="7"/>
  <c r="H48" i="7" s="1"/>
  <c r="J48" i="7" s="1"/>
  <c r="D48" i="7"/>
  <c r="L47" i="7"/>
  <c r="K47" i="7"/>
  <c r="G47" i="7"/>
  <c r="H47" i="7" s="1"/>
  <c r="J47" i="7" s="1"/>
  <c r="D47" i="7"/>
  <c r="L46" i="7"/>
  <c r="K46" i="7"/>
  <c r="G46" i="7"/>
  <c r="H46" i="7" s="1"/>
  <c r="J46" i="7" s="1"/>
  <c r="D46" i="7"/>
  <c r="L45" i="7"/>
  <c r="K45" i="7"/>
  <c r="G45" i="7"/>
  <c r="H45" i="7" s="1"/>
  <c r="J45" i="7" s="1"/>
  <c r="D45" i="7"/>
  <c r="L44" i="7"/>
  <c r="K44" i="7"/>
  <c r="G44" i="7"/>
  <c r="H44" i="7" s="1"/>
  <c r="J44" i="7" s="1"/>
  <c r="D44" i="7"/>
  <c r="L43" i="7"/>
  <c r="K43" i="7"/>
  <c r="G43" i="7"/>
  <c r="H43" i="7" s="1"/>
  <c r="J43" i="7" s="1"/>
  <c r="D43" i="7"/>
  <c r="L42" i="7"/>
  <c r="K42" i="7"/>
  <c r="G42" i="7"/>
  <c r="H42" i="7" s="1"/>
  <c r="J42" i="7" s="1"/>
  <c r="D42" i="7"/>
  <c r="L41" i="7"/>
  <c r="K41" i="7"/>
  <c r="G41" i="7"/>
  <c r="H41" i="7" s="1"/>
  <c r="J41" i="7" s="1"/>
  <c r="D41" i="7"/>
  <c r="L40" i="7"/>
  <c r="K40" i="7"/>
  <c r="G40" i="7"/>
  <c r="H40" i="7" s="1"/>
  <c r="J40" i="7" s="1"/>
  <c r="D40" i="7"/>
  <c r="L39" i="7"/>
  <c r="K39" i="7"/>
  <c r="G39" i="7"/>
  <c r="H39" i="7" s="1"/>
  <c r="J39" i="7" s="1"/>
  <c r="D39" i="7"/>
  <c r="L38" i="7"/>
  <c r="K38" i="7"/>
  <c r="G38" i="7"/>
  <c r="H38" i="7" s="1"/>
  <c r="J38" i="7" s="1"/>
  <c r="D38" i="7"/>
  <c r="L37" i="7"/>
  <c r="K37" i="7"/>
  <c r="G37" i="7"/>
  <c r="H37" i="7" s="1"/>
  <c r="J37" i="7" s="1"/>
  <c r="D37" i="7"/>
  <c r="L36" i="7"/>
  <c r="K36" i="7"/>
  <c r="G36" i="7"/>
  <c r="H36" i="7" s="1"/>
  <c r="J36" i="7" s="1"/>
  <c r="D36" i="7"/>
  <c r="L35" i="7"/>
  <c r="K35" i="7"/>
  <c r="G35" i="7"/>
  <c r="H35" i="7" s="1"/>
  <c r="J35" i="7" s="1"/>
  <c r="D35" i="7"/>
  <c r="L34" i="7"/>
  <c r="K34" i="7"/>
  <c r="G34" i="7"/>
  <c r="H34" i="7" s="1"/>
  <c r="J34" i="7" s="1"/>
  <c r="D34" i="7"/>
  <c r="L33" i="7"/>
  <c r="K33" i="7"/>
  <c r="G33" i="7"/>
  <c r="H33" i="7" s="1"/>
  <c r="J33" i="7" s="1"/>
  <c r="D33" i="7"/>
  <c r="L32" i="7"/>
  <c r="K32" i="7"/>
  <c r="G32" i="7"/>
  <c r="H32" i="7" s="1"/>
  <c r="J32" i="7" s="1"/>
  <c r="D32" i="7"/>
  <c r="L31" i="7"/>
  <c r="K31" i="7"/>
  <c r="G31" i="7"/>
  <c r="H31" i="7" s="1"/>
  <c r="J31" i="7" s="1"/>
  <c r="D31" i="7"/>
  <c r="L30" i="7"/>
  <c r="K30" i="7"/>
  <c r="G30" i="7"/>
  <c r="H30" i="7" s="1"/>
  <c r="J30" i="7" s="1"/>
  <c r="D30" i="7"/>
  <c r="L29" i="7"/>
  <c r="K29" i="7"/>
  <c r="G29" i="7"/>
  <c r="H29" i="7" s="1"/>
  <c r="J29" i="7" s="1"/>
  <c r="D29" i="7"/>
  <c r="L28" i="7"/>
  <c r="K28" i="7"/>
  <c r="G28" i="7"/>
  <c r="H28" i="7" s="1"/>
  <c r="J28" i="7" s="1"/>
  <c r="D28" i="7"/>
  <c r="L27" i="7"/>
  <c r="K27" i="7"/>
  <c r="G27" i="7"/>
  <c r="H27" i="7" s="1"/>
  <c r="J27" i="7" s="1"/>
  <c r="D27" i="7"/>
  <c r="L26" i="7"/>
  <c r="K26" i="7"/>
  <c r="G26" i="7"/>
  <c r="H26" i="7" s="1"/>
  <c r="J26" i="7" s="1"/>
  <c r="D26" i="7"/>
  <c r="L25" i="7"/>
  <c r="K25" i="7"/>
  <c r="G25" i="7"/>
  <c r="H25" i="7" s="1"/>
  <c r="J25" i="7" s="1"/>
  <c r="D25" i="7"/>
  <c r="L24" i="7"/>
  <c r="K24" i="7"/>
  <c r="G24" i="7"/>
  <c r="H24" i="7" s="1"/>
  <c r="J24" i="7" s="1"/>
  <c r="D24" i="7"/>
  <c r="L23" i="7"/>
  <c r="K23" i="7"/>
  <c r="G23" i="7"/>
  <c r="H23" i="7" s="1"/>
  <c r="J23" i="7" s="1"/>
  <c r="D23" i="7"/>
  <c r="L22" i="7"/>
  <c r="K22" i="7"/>
  <c r="G22" i="7"/>
  <c r="H22" i="7" s="1"/>
  <c r="J22" i="7" s="1"/>
  <c r="D22" i="7"/>
  <c r="L21" i="7"/>
  <c r="K21" i="7"/>
  <c r="G21" i="7"/>
  <c r="H21" i="7" s="1"/>
  <c r="J21" i="7" s="1"/>
  <c r="D21" i="7"/>
  <c r="L20" i="7"/>
  <c r="K20" i="7"/>
  <c r="G20" i="7"/>
  <c r="H20" i="7" s="1"/>
  <c r="J20" i="7" s="1"/>
  <c r="D20" i="7"/>
  <c r="L19" i="7"/>
  <c r="K19" i="7"/>
  <c r="G19" i="7"/>
  <c r="H19" i="7" s="1"/>
  <c r="J19" i="7" s="1"/>
  <c r="D19" i="7"/>
  <c r="L18" i="7"/>
  <c r="K18" i="7"/>
  <c r="G18" i="7"/>
  <c r="H18" i="7" s="1"/>
  <c r="J18" i="7" s="1"/>
  <c r="D18" i="7"/>
  <c r="L17" i="7"/>
  <c r="K17" i="7"/>
  <c r="G17" i="7"/>
  <c r="H17" i="7" s="1"/>
  <c r="J17" i="7" s="1"/>
  <c r="D17" i="7"/>
  <c r="L16" i="7"/>
  <c r="K16" i="7"/>
  <c r="G16" i="7"/>
  <c r="H16" i="7" s="1"/>
  <c r="J16" i="7" s="1"/>
  <c r="D16" i="7"/>
  <c r="L15" i="7"/>
  <c r="K15" i="7"/>
  <c r="G15" i="7"/>
  <c r="H15" i="7" s="1"/>
  <c r="J15" i="7" s="1"/>
  <c r="D15" i="7"/>
  <c r="L14" i="7"/>
  <c r="K14" i="7"/>
  <c r="G14" i="7"/>
  <c r="H14" i="7" s="1"/>
  <c r="J14" i="7" s="1"/>
  <c r="D14" i="7"/>
  <c r="L13" i="7"/>
  <c r="K13" i="7"/>
  <c r="G13" i="7"/>
  <c r="H13" i="7" s="1"/>
  <c r="J13" i="7" s="1"/>
  <c r="D13" i="7"/>
  <c r="L12" i="7"/>
  <c r="K12" i="7"/>
  <c r="G12" i="7"/>
  <c r="H12" i="7" s="1"/>
  <c r="J12" i="7" s="1"/>
  <c r="D12" i="7"/>
  <c r="L11" i="7"/>
  <c r="K11" i="7"/>
  <c r="G11" i="7"/>
  <c r="H11" i="7" s="1"/>
  <c r="J11" i="7" s="1"/>
  <c r="D11" i="7"/>
  <c r="L10" i="7"/>
  <c r="K10" i="7"/>
  <c r="G10" i="7"/>
  <c r="H10" i="7" s="1"/>
  <c r="J10" i="7" s="1"/>
  <c r="D10" i="7"/>
  <c r="L9" i="7"/>
  <c r="K9" i="7"/>
  <c r="G9" i="7"/>
  <c r="H9" i="7" s="1"/>
  <c r="J9" i="7" s="1"/>
  <c r="D9" i="7"/>
  <c r="L8" i="7"/>
  <c r="K8" i="7"/>
  <c r="G8" i="7"/>
  <c r="H8" i="7" s="1"/>
  <c r="J8" i="7" s="1"/>
  <c r="D8" i="7"/>
  <c r="L7" i="7"/>
  <c r="K7" i="7"/>
  <c r="G7" i="7"/>
  <c r="H7" i="7" s="1"/>
  <c r="J7" i="7" s="1"/>
  <c r="D7" i="7"/>
  <c r="L6" i="7"/>
  <c r="K6" i="7"/>
  <c r="G6" i="7"/>
  <c r="H6" i="7" s="1"/>
  <c r="J6" i="7" s="1"/>
  <c r="D6" i="7"/>
  <c r="L5" i="7"/>
  <c r="K5" i="7"/>
  <c r="G5" i="7"/>
  <c r="H5" i="7" s="1"/>
  <c r="J5" i="7" s="1"/>
  <c r="D5" i="7"/>
  <c r="L4" i="7"/>
  <c r="K4" i="7"/>
  <c r="G4" i="7"/>
  <c r="H4" i="7" s="1"/>
  <c r="J4" i="7" s="1"/>
  <c r="D4" i="7"/>
  <c r="L3" i="7"/>
  <c r="K3" i="7"/>
  <c r="G3" i="7"/>
  <c r="H3" i="7" s="1"/>
  <c r="J3" i="7" s="1"/>
  <c r="D3" i="7"/>
  <c r="L2" i="7"/>
  <c r="K2" i="7"/>
  <c r="G2" i="7"/>
  <c r="H2" i="7" s="1"/>
  <c r="J2" i="7" s="1"/>
  <c r="D2" i="7"/>
  <c r="L51" i="6"/>
  <c r="K51" i="6"/>
  <c r="G51" i="6"/>
  <c r="H51" i="6" s="1"/>
  <c r="J51" i="6" s="1"/>
  <c r="D51" i="6"/>
  <c r="L50" i="6"/>
  <c r="K50" i="6"/>
  <c r="G50" i="6"/>
  <c r="H50" i="6" s="1"/>
  <c r="J50" i="6" s="1"/>
  <c r="D50" i="6"/>
  <c r="L49" i="6"/>
  <c r="K49" i="6"/>
  <c r="G49" i="6"/>
  <c r="H49" i="6" s="1"/>
  <c r="J49" i="6" s="1"/>
  <c r="D49" i="6"/>
  <c r="L48" i="6"/>
  <c r="K48" i="6"/>
  <c r="G48" i="6"/>
  <c r="H48" i="6" s="1"/>
  <c r="J48" i="6" s="1"/>
  <c r="D48" i="6"/>
  <c r="L47" i="6"/>
  <c r="K47" i="6"/>
  <c r="G47" i="6"/>
  <c r="H47" i="6" s="1"/>
  <c r="J47" i="6" s="1"/>
  <c r="D47" i="6"/>
  <c r="L46" i="6"/>
  <c r="K46" i="6"/>
  <c r="G46" i="6"/>
  <c r="H46" i="6" s="1"/>
  <c r="J46" i="6" s="1"/>
  <c r="D46" i="6"/>
  <c r="L45" i="6"/>
  <c r="K45" i="6"/>
  <c r="G45" i="6"/>
  <c r="H45" i="6" s="1"/>
  <c r="J45" i="6" s="1"/>
  <c r="D45" i="6"/>
  <c r="L44" i="6"/>
  <c r="K44" i="6"/>
  <c r="G44" i="6"/>
  <c r="H44" i="6" s="1"/>
  <c r="J44" i="6" s="1"/>
  <c r="D44" i="6"/>
  <c r="L43" i="6"/>
  <c r="K43" i="6"/>
  <c r="G43" i="6"/>
  <c r="H43" i="6" s="1"/>
  <c r="J43" i="6" s="1"/>
  <c r="D43" i="6"/>
  <c r="L42" i="6"/>
  <c r="K42" i="6"/>
  <c r="G42" i="6"/>
  <c r="H42" i="6" s="1"/>
  <c r="J42" i="6" s="1"/>
  <c r="D42" i="6"/>
  <c r="L41" i="6"/>
  <c r="K41" i="6"/>
  <c r="G41" i="6"/>
  <c r="H41" i="6" s="1"/>
  <c r="J41" i="6" s="1"/>
  <c r="D41" i="6"/>
  <c r="L40" i="6"/>
  <c r="K40" i="6"/>
  <c r="G40" i="6"/>
  <c r="H40" i="6" s="1"/>
  <c r="J40" i="6" s="1"/>
  <c r="D40" i="6"/>
  <c r="L39" i="6"/>
  <c r="K39" i="6"/>
  <c r="G39" i="6"/>
  <c r="H39" i="6" s="1"/>
  <c r="J39" i="6" s="1"/>
  <c r="D39" i="6"/>
  <c r="L38" i="6"/>
  <c r="K38" i="6"/>
  <c r="G38" i="6"/>
  <c r="H38" i="6" s="1"/>
  <c r="J38" i="6" s="1"/>
  <c r="D38" i="6"/>
  <c r="L37" i="6"/>
  <c r="K37" i="6"/>
  <c r="G37" i="6"/>
  <c r="H37" i="6" s="1"/>
  <c r="J37" i="6" s="1"/>
  <c r="D37" i="6"/>
  <c r="L36" i="6"/>
  <c r="K36" i="6"/>
  <c r="G36" i="6"/>
  <c r="H36" i="6" s="1"/>
  <c r="J36" i="6" s="1"/>
  <c r="D36" i="6"/>
  <c r="L35" i="6"/>
  <c r="K35" i="6"/>
  <c r="G35" i="6"/>
  <c r="H35" i="6" s="1"/>
  <c r="J35" i="6" s="1"/>
  <c r="D35" i="6"/>
  <c r="L34" i="6"/>
  <c r="K34" i="6"/>
  <c r="G34" i="6"/>
  <c r="H34" i="6" s="1"/>
  <c r="J34" i="6" s="1"/>
  <c r="D34" i="6"/>
  <c r="L33" i="6"/>
  <c r="K33" i="6"/>
  <c r="G33" i="6"/>
  <c r="H33" i="6" s="1"/>
  <c r="J33" i="6" s="1"/>
  <c r="D33" i="6"/>
  <c r="L32" i="6"/>
  <c r="K32" i="6"/>
  <c r="G32" i="6"/>
  <c r="H32" i="6" s="1"/>
  <c r="J32" i="6" s="1"/>
  <c r="D32" i="6"/>
  <c r="L31" i="6"/>
  <c r="K31" i="6"/>
  <c r="G31" i="6"/>
  <c r="H31" i="6" s="1"/>
  <c r="J31" i="6" s="1"/>
  <c r="D31" i="6"/>
  <c r="L30" i="6"/>
  <c r="K30" i="6"/>
  <c r="G30" i="6"/>
  <c r="H30" i="6" s="1"/>
  <c r="J30" i="6" s="1"/>
  <c r="D30" i="6"/>
  <c r="L29" i="6"/>
  <c r="K29" i="6"/>
  <c r="G29" i="6"/>
  <c r="H29" i="6" s="1"/>
  <c r="J29" i="6" s="1"/>
  <c r="D29" i="6"/>
  <c r="L28" i="6"/>
  <c r="K28" i="6"/>
  <c r="G28" i="6"/>
  <c r="H28" i="6" s="1"/>
  <c r="J28" i="6" s="1"/>
  <c r="D28" i="6"/>
  <c r="L27" i="6"/>
  <c r="K27" i="6"/>
  <c r="G27" i="6"/>
  <c r="H27" i="6" s="1"/>
  <c r="J27" i="6" s="1"/>
  <c r="D27" i="6"/>
  <c r="L26" i="6"/>
  <c r="K26" i="6"/>
  <c r="G26" i="6"/>
  <c r="H26" i="6" s="1"/>
  <c r="J26" i="6" s="1"/>
  <c r="D26" i="6"/>
  <c r="L25" i="6"/>
  <c r="K25" i="6"/>
  <c r="G25" i="6"/>
  <c r="H25" i="6" s="1"/>
  <c r="J25" i="6" s="1"/>
  <c r="D25" i="6"/>
  <c r="L24" i="6"/>
  <c r="K24" i="6"/>
  <c r="G24" i="6"/>
  <c r="H24" i="6" s="1"/>
  <c r="J24" i="6" s="1"/>
  <c r="D24" i="6"/>
  <c r="L23" i="6"/>
  <c r="K23" i="6"/>
  <c r="G23" i="6"/>
  <c r="H23" i="6" s="1"/>
  <c r="J23" i="6" s="1"/>
  <c r="D23" i="6"/>
  <c r="L22" i="6"/>
  <c r="K22" i="6"/>
  <c r="G22" i="6"/>
  <c r="H22" i="6" s="1"/>
  <c r="J22" i="6" s="1"/>
  <c r="D22" i="6"/>
  <c r="L21" i="6"/>
  <c r="K21" i="6"/>
  <c r="G21" i="6"/>
  <c r="H21" i="6" s="1"/>
  <c r="J21" i="6" s="1"/>
  <c r="D21" i="6"/>
  <c r="L20" i="6"/>
  <c r="K20" i="6"/>
  <c r="G20" i="6"/>
  <c r="H20" i="6" s="1"/>
  <c r="J20" i="6" s="1"/>
  <c r="D20" i="6"/>
  <c r="L19" i="6"/>
  <c r="K19" i="6"/>
  <c r="G19" i="6"/>
  <c r="H19" i="6" s="1"/>
  <c r="J19" i="6" s="1"/>
  <c r="D19" i="6"/>
  <c r="L18" i="6"/>
  <c r="K18" i="6"/>
  <c r="G18" i="6"/>
  <c r="H18" i="6" s="1"/>
  <c r="J18" i="6" s="1"/>
  <c r="D18" i="6"/>
  <c r="L17" i="6"/>
  <c r="K17" i="6"/>
  <c r="G17" i="6"/>
  <c r="H17" i="6" s="1"/>
  <c r="J17" i="6" s="1"/>
  <c r="D17" i="6"/>
  <c r="L16" i="6"/>
  <c r="K16" i="6"/>
  <c r="G16" i="6"/>
  <c r="H16" i="6" s="1"/>
  <c r="J16" i="6" s="1"/>
  <c r="D16" i="6"/>
  <c r="L15" i="6"/>
  <c r="K15" i="6"/>
  <c r="G15" i="6"/>
  <c r="H15" i="6" s="1"/>
  <c r="J15" i="6" s="1"/>
  <c r="D15" i="6"/>
  <c r="L14" i="6"/>
  <c r="K14" i="6"/>
  <c r="G14" i="6"/>
  <c r="H14" i="6" s="1"/>
  <c r="J14" i="6" s="1"/>
  <c r="D14" i="6"/>
  <c r="L13" i="6"/>
  <c r="K13" i="6"/>
  <c r="G13" i="6"/>
  <c r="H13" i="6" s="1"/>
  <c r="J13" i="6" s="1"/>
  <c r="D13" i="6"/>
  <c r="L12" i="6"/>
  <c r="K12" i="6"/>
  <c r="G12" i="6"/>
  <c r="H12" i="6" s="1"/>
  <c r="J12" i="6" s="1"/>
  <c r="D12" i="6"/>
  <c r="L11" i="6"/>
  <c r="K11" i="6"/>
  <c r="G11" i="6"/>
  <c r="H11" i="6" s="1"/>
  <c r="J11" i="6" s="1"/>
  <c r="D11" i="6"/>
  <c r="L10" i="6"/>
  <c r="K10" i="6"/>
  <c r="G10" i="6"/>
  <c r="H10" i="6" s="1"/>
  <c r="J10" i="6" s="1"/>
  <c r="D10" i="6"/>
  <c r="L9" i="6"/>
  <c r="K9" i="6"/>
  <c r="G9" i="6"/>
  <c r="H9" i="6" s="1"/>
  <c r="J9" i="6" s="1"/>
  <c r="D9" i="6"/>
  <c r="L8" i="6"/>
  <c r="K8" i="6"/>
  <c r="G8" i="6"/>
  <c r="H8" i="6" s="1"/>
  <c r="J8" i="6" s="1"/>
  <c r="D8" i="6"/>
  <c r="L7" i="6"/>
  <c r="K7" i="6"/>
  <c r="G7" i="6"/>
  <c r="H7" i="6" s="1"/>
  <c r="J7" i="6" s="1"/>
  <c r="D7" i="6"/>
  <c r="L6" i="6"/>
  <c r="K6" i="6"/>
  <c r="G6" i="6"/>
  <c r="H6" i="6" s="1"/>
  <c r="J6" i="6" s="1"/>
  <c r="D6" i="6"/>
  <c r="L5" i="6"/>
  <c r="K5" i="6"/>
  <c r="G5" i="6"/>
  <c r="H5" i="6" s="1"/>
  <c r="J5" i="6" s="1"/>
  <c r="D5" i="6"/>
  <c r="L4" i="6"/>
  <c r="K4" i="6"/>
  <c r="G4" i="6"/>
  <c r="H4" i="6" s="1"/>
  <c r="J4" i="6" s="1"/>
  <c r="D4" i="6"/>
  <c r="L3" i="6"/>
  <c r="K3" i="6"/>
  <c r="G3" i="6"/>
  <c r="H3" i="6" s="1"/>
  <c r="J3" i="6" s="1"/>
  <c r="D3" i="6"/>
  <c r="L2" i="6"/>
  <c r="K2" i="6"/>
  <c r="G2" i="6"/>
  <c r="H2" i="6" s="1"/>
  <c r="J2" i="6" s="1"/>
  <c r="D2" i="6"/>
  <c r="L51" i="5"/>
  <c r="K51" i="5"/>
  <c r="D51" i="5"/>
  <c r="G51" i="5" s="1"/>
  <c r="H51" i="5" s="1"/>
  <c r="J51" i="5" s="1"/>
  <c r="L50" i="5"/>
  <c r="K50" i="5"/>
  <c r="D50" i="5"/>
  <c r="G50" i="5" s="1"/>
  <c r="H50" i="5" s="1"/>
  <c r="J50" i="5" s="1"/>
  <c r="L49" i="5"/>
  <c r="K49" i="5"/>
  <c r="D49" i="5"/>
  <c r="G49" i="5" s="1"/>
  <c r="H49" i="5" s="1"/>
  <c r="J49" i="5" s="1"/>
  <c r="L48" i="5"/>
  <c r="K48" i="5"/>
  <c r="D48" i="5"/>
  <c r="G48" i="5" s="1"/>
  <c r="H48" i="5" s="1"/>
  <c r="J48" i="5" s="1"/>
  <c r="L47" i="5"/>
  <c r="K47" i="5"/>
  <c r="D47" i="5"/>
  <c r="G47" i="5" s="1"/>
  <c r="H47" i="5" s="1"/>
  <c r="J47" i="5" s="1"/>
  <c r="L46" i="5"/>
  <c r="K46" i="5"/>
  <c r="D46" i="5"/>
  <c r="G46" i="5" s="1"/>
  <c r="H46" i="5" s="1"/>
  <c r="J46" i="5" s="1"/>
  <c r="L45" i="5"/>
  <c r="K45" i="5"/>
  <c r="D45" i="5"/>
  <c r="G45" i="5" s="1"/>
  <c r="H45" i="5" s="1"/>
  <c r="J45" i="5" s="1"/>
  <c r="L44" i="5"/>
  <c r="K44" i="5"/>
  <c r="D44" i="5"/>
  <c r="G44" i="5" s="1"/>
  <c r="H44" i="5" s="1"/>
  <c r="J44" i="5" s="1"/>
  <c r="L43" i="5"/>
  <c r="K43" i="5"/>
  <c r="D43" i="5"/>
  <c r="G43" i="5" s="1"/>
  <c r="H43" i="5" s="1"/>
  <c r="J43" i="5" s="1"/>
  <c r="L42" i="5"/>
  <c r="K42" i="5"/>
  <c r="D42" i="5"/>
  <c r="G42" i="5" s="1"/>
  <c r="H42" i="5" s="1"/>
  <c r="J42" i="5" s="1"/>
  <c r="L41" i="5"/>
  <c r="K41" i="5"/>
  <c r="D41" i="5"/>
  <c r="G41" i="5" s="1"/>
  <c r="H41" i="5" s="1"/>
  <c r="J41" i="5" s="1"/>
  <c r="L40" i="5"/>
  <c r="K40" i="5"/>
  <c r="D40" i="5"/>
  <c r="G40" i="5" s="1"/>
  <c r="H40" i="5" s="1"/>
  <c r="J40" i="5" s="1"/>
  <c r="L39" i="5"/>
  <c r="K39" i="5"/>
  <c r="D39" i="5"/>
  <c r="G39" i="5" s="1"/>
  <c r="H39" i="5" s="1"/>
  <c r="J39" i="5" s="1"/>
  <c r="L38" i="5"/>
  <c r="K38" i="5"/>
  <c r="D38" i="5"/>
  <c r="G38" i="5" s="1"/>
  <c r="H38" i="5" s="1"/>
  <c r="J38" i="5" s="1"/>
  <c r="L37" i="5"/>
  <c r="K37" i="5"/>
  <c r="D37" i="5"/>
  <c r="G37" i="5" s="1"/>
  <c r="H37" i="5" s="1"/>
  <c r="J37" i="5" s="1"/>
  <c r="L36" i="5"/>
  <c r="K36" i="5"/>
  <c r="D36" i="5"/>
  <c r="G36" i="5" s="1"/>
  <c r="H36" i="5" s="1"/>
  <c r="J36" i="5" s="1"/>
  <c r="L35" i="5"/>
  <c r="K35" i="5"/>
  <c r="D35" i="5"/>
  <c r="G35" i="5" s="1"/>
  <c r="H35" i="5" s="1"/>
  <c r="J35" i="5" s="1"/>
  <c r="L34" i="5"/>
  <c r="K34" i="5"/>
  <c r="D34" i="5"/>
  <c r="G34" i="5" s="1"/>
  <c r="H34" i="5" s="1"/>
  <c r="J34" i="5" s="1"/>
  <c r="L33" i="5"/>
  <c r="K33" i="5"/>
  <c r="D33" i="5"/>
  <c r="G33" i="5" s="1"/>
  <c r="H33" i="5" s="1"/>
  <c r="J33" i="5" s="1"/>
  <c r="L32" i="5"/>
  <c r="K32" i="5"/>
  <c r="D32" i="5"/>
  <c r="G32" i="5" s="1"/>
  <c r="H32" i="5" s="1"/>
  <c r="J32" i="5" s="1"/>
  <c r="L31" i="5"/>
  <c r="K31" i="5"/>
  <c r="D31" i="5"/>
  <c r="G31" i="5" s="1"/>
  <c r="H31" i="5" s="1"/>
  <c r="J31" i="5" s="1"/>
  <c r="L30" i="5"/>
  <c r="K30" i="5"/>
  <c r="D30" i="5"/>
  <c r="G30" i="5" s="1"/>
  <c r="H30" i="5" s="1"/>
  <c r="J30" i="5" s="1"/>
  <c r="L29" i="5"/>
  <c r="K29" i="5"/>
  <c r="D29" i="5"/>
  <c r="G29" i="5" s="1"/>
  <c r="H29" i="5" s="1"/>
  <c r="J29" i="5" s="1"/>
  <c r="L28" i="5"/>
  <c r="K28" i="5"/>
  <c r="D28" i="5"/>
  <c r="G28" i="5" s="1"/>
  <c r="H28" i="5" s="1"/>
  <c r="J28" i="5" s="1"/>
  <c r="L27" i="5"/>
  <c r="K27" i="5"/>
  <c r="D27" i="5"/>
  <c r="G27" i="5" s="1"/>
  <c r="H27" i="5" s="1"/>
  <c r="J27" i="5" s="1"/>
  <c r="L26" i="5"/>
  <c r="K26" i="5"/>
  <c r="D26" i="5"/>
  <c r="G26" i="5" s="1"/>
  <c r="H26" i="5" s="1"/>
  <c r="J26" i="5" s="1"/>
  <c r="L25" i="5"/>
  <c r="K25" i="5"/>
  <c r="D25" i="5"/>
  <c r="G25" i="5" s="1"/>
  <c r="H25" i="5" s="1"/>
  <c r="J25" i="5" s="1"/>
  <c r="L24" i="5"/>
  <c r="K24" i="5"/>
  <c r="D24" i="5"/>
  <c r="G24" i="5" s="1"/>
  <c r="H24" i="5" s="1"/>
  <c r="J24" i="5" s="1"/>
  <c r="L23" i="5"/>
  <c r="K23" i="5"/>
  <c r="D23" i="5"/>
  <c r="G23" i="5" s="1"/>
  <c r="H23" i="5" s="1"/>
  <c r="J23" i="5" s="1"/>
  <c r="L22" i="5"/>
  <c r="K22" i="5"/>
  <c r="D22" i="5"/>
  <c r="G22" i="5" s="1"/>
  <c r="H22" i="5" s="1"/>
  <c r="J22" i="5" s="1"/>
  <c r="L21" i="5"/>
  <c r="K21" i="5"/>
  <c r="D21" i="5"/>
  <c r="G21" i="5" s="1"/>
  <c r="H21" i="5" s="1"/>
  <c r="J21" i="5" s="1"/>
  <c r="L20" i="5"/>
  <c r="K20" i="5"/>
  <c r="D20" i="5"/>
  <c r="G20" i="5" s="1"/>
  <c r="H20" i="5" s="1"/>
  <c r="J20" i="5" s="1"/>
  <c r="L19" i="5"/>
  <c r="K19" i="5"/>
  <c r="D19" i="5"/>
  <c r="G19" i="5" s="1"/>
  <c r="H19" i="5" s="1"/>
  <c r="J19" i="5" s="1"/>
  <c r="L18" i="5"/>
  <c r="K18" i="5"/>
  <c r="D18" i="5"/>
  <c r="G18" i="5" s="1"/>
  <c r="H18" i="5" s="1"/>
  <c r="J18" i="5" s="1"/>
  <c r="L17" i="5"/>
  <c r="K17" i="5"/>
  <c r="D17" i="5"/>
  <c r="G17" i="5" s="1"/>
  <c r="H17" i="5" s="1"/>
  <c r="J17" i="5" s="1"/>
  <c r="L16" i="5"/>
  <c r="K16" i="5"/>
  <c r="D16" i="5"/>
  <c r="G16" i="5" s="1"/>
  <c r="H16" i="5" s="1"/>
  <c r="J16" i="5" s="1"/>
  <c r="L15" i="5"/>
  <c r="K15" i="5"/>
  <c r="D15" i="5"/>
  <c r="G15" i="5" s="1"/>
  <c r="H15" i="5" s="1"/>
  <c r="J15" i="5" s="1"/>
  <c r="L14" i="5"/>
  <c r="K14" i="5"/>
  <c r="D14" i="5"/>
  <c r="G14" i="5" s="1"/>
  <c r="H14" i="5" s="1"/>
  <c r="J14" i="5" s="1"/>
  <c r="L13" i="5"/>
  <c r="K13" i="5"/>
  <c r="D13" i="5"/>
  <c r="G13" i="5" s="1"/>
  <c r="H13" i="5" s="1"/>
  <c r="J13" i="5" s="1"/>
  <c r="L12" i="5"/>
  <c r="K12" i="5"/>
  <c r="D12" i="5"/>
  <c r="G12" i="5" s="1"/>
  <c r="H12" i="5" s="1"/>
  <c r="J12" i="5" s="1"/>
  <c r="L11" i="5"/>
  <c r="K11" i="5"/>
  <c r="D11" i="5"/>
  <c r="G11" i="5" s="1"/>
  <c r="H11" i="5" s="1"/>
  <c r="J11" i="5" s="1"/>
  <c r="L10" i="5"/>
  <c r="K10" i="5"/>
  <c r="D10" i="5"/>
  <c r="G10" i="5" s="1"/>
  <c r="H10" i="5" s="1"/>
  <c r="J10" i="5" s="1"/>
  <c r="L9" i="5"/>
  <c r="K9" i="5"/>
  <c r="D9" i="5"/>
  <c r="G9" i="5" s="1"/>
  <c r="H9" i="5" s="1"/>
  <c r="J9" i="5" s="1"/>
  <c r="L8" i="5"/>
  <c r="K8" i="5"/>
  <c r="D8" i="5"/>
  <c r="G8" i="5" s="1"/>
  <c r="H8" i="5" s="1"/>
  <c r="J8" i="5" s="1"/>
  <c r="L7" i="5"/>
  <c r="K7" i="5"/>
  <c r="D7" i="5"/>
  <c r="G7" i="5" s="1"/>
  <c r="H7" i="5" s="1"/>
  <c r="J7" i="5" s="1"/>
  <c r="L6" i="5"/>
  <c r="K6" i="5"/>
  <c r="D6" i="5"/>
  <c r="G6" i="5" s="1"/>
  <c r="H6" i="5" s="1"/>
  <c r="J6" i="5" s="1"/>
  <c r="L5" i="5"/>
  <c r="K5" i="5"/>
  <c r="D5" i="5"/>
  <c r="G5" i="5" s="1"/>
  <c r="H5" i="5" s="1"/>
  <c r="J5" i="5" s="1"/>
  <c r="L4" i="5"/>
  <c r="K4" i="5"/>
  <c r="D4" i="5"/>
  <c r="G4" i="5" s="1"/>
  <c r="H4" i="5" s="1"/>
  <c r="J4" i="5" s="1"/>
  <c r="L3" i="5"/>
  <c r="K3" i="5"/>
  <c r="D3" i="5"/>
  <c r="G3" i="5" s="1"/>
  <c r="H3" i="5" s="1"/>
  <c r="J3" i="5" s="1"/>
  <c r="L2" i="5"/>
  <c r="K2" i="5"/>
  <c r="D2" i="5"/>
  <c r="G2" i="5" s="1"/>
  <c r="H2" i="5" s="1"/>
  <c r="J2" i="5" s="1"/>
  <c r="L51" i="4"/>
  <c r="K51" i="4"/>
  <c r="D51" i="4"/>
  <c r="G51" i="4" s="1"/>
  <c r="H51" i="4" s="1"/>
  <c r="J51" i="4" s="1"/>
  <c r="L50" i="4"/>
  <c r="K50" i="4"/>
  <c r="G50" i="4"/>
  <c r="H50" i="4" s="1"/>
  <c r="J50" i="4" s="1"/>
  <c r="D50" i="4"/>
  <c r="L49" i="4"/>
  <c r="K49" i="4"/>
  <c r="D49" i="4"/>
  <c r="G49" i="4" s="1"/>
  <c r="H49" i="4" s="1"/>
  <c r="J49" i="4" s="1"/>
  <c r="L48" i="4"/>
  <c r="K48" i="4"/>
  <c r="G48" i="4"/>
  <c r="H48" i="4" s="1"/>
  <c r="J48" i="4" s="1"/>
  <c r="D48" i="4"/>
  <c r="L47" i="4"/>
  <c r="K47" i="4"/>
  <c r="D47" i="4"/>
  <c r="G47" i="4" s="1"/>
  <c r="H47" i="4" s="1"/>
  <c r="J47" i="4" s="1"/>
  <c r="L46" i="4"/>
  <c r="K46" i="4"/>
  <c r="G46" i="4"/>
  <c r="H46" i="4" s="1"/>
  <c r="J46" i="4" s="1"/>
  <c r="D46" i="4"/>
  <c r="L45" i="4"/>
  <c r="K45" i="4"/>
  <c r="D45" i="4"/>
  <c r="G45" i="4" s="1"/>
  <c r="H45" i="4" s="1"/>
  <c r="J45" i="4" s="1"/>
  <c r="L44" i="4"/>
  <c r="K44" i="4"/>
  <c r="G44" i="4"/>
  <c r="H44" i="4" s="1"/>
  <c r="J44" i="4" s="1"/>
  <c r="D44" i="4"/>
  <c r="L43" i="4"/>
  <c r="K43" i="4"/>
  <c r="D43" i="4"/>
  <c r="G43" i="4" s="1"/>
  <c r="H43" i="4" s="1"/>
  <c r="J43" i="4" s="1"/>
  <c r="L42" i="4"/>
  <c r="K42" i="4"/>
  <c r="G42" i="4"/>
  <c r="H42" i="4" s="1"/>
  <c r="J42" i="4" s="1"/>
  <c r="D42" i="4"/>
  <c r="L41" i="4"/>
  <c r="K41" i="4"/>
  <c r="D41" i="4"/>
  <c r="G41" i="4" s="1"/>
  <c r="H41" i="4" s="1"/>
  <c r="J41" i="4" s="1"/>
  <c r="L40" i="4"/>
  <c r="K40" i="4"/>
  <c r="G40" i="4"/>
  <c r="H40" i="4" s="1"/>
  <c r="J40" i="4" s="1"/>
  <c r="D40" i="4"/>
  <c r="L39" i="4"/>
  <c r="K39" i="4"/>
  <c r="D39" i="4"/>
  <c r="G39" i="4" s="1"/>
  <c r="H39" i="4" s="1"/>
  <c r="J39" i="4" s="1"/>
  <c r="L38" i="4"/>
  <c r="K38" i="4"/>
  <c r="G38" i="4"/>
  <c r="H38" i="4" s="1"/>
  <c r="J38" i="4" s="1"/>
  <c r="D38" i="4"/>
  <c r="L37" i="4"/>
  <c r="K37" i="4"/>
  <c r="D37" i="4"/>
  <c r="G37" i="4" s="1"/>
  <c r="H37" i="4" s="1"/>
  <c r="J37" i="4" s="1"/>
  <c r="L36" i="4"/>
  <c r="K36" i="4"/>
  <c r="G36" i="4"/>
  <c r="H36" i="4" s="1"/>
  <c r="J36" i="4" s="1"/>
  <c r="D36" i="4"/>
  <c r="L35" i="4"/>
  <c r="K35" i="4"/>
  <c r="D35" i="4"/>
  <c r="G35" i="4" s="1"/>
  <c r="H35" i="4" s="1"/>
  <c r="J35" i="4" s="1"/>
  <c r="L34" i="4"/>
  <c r="K34" i="4"/>
  <c r="G34" i="4"/>
  <c r="H34" i="4" s="1"/>
  <c r="J34" i="4" s="1"/>
  <c r="D34" i="4"/>
  <c r="L33" i="4"/>
  <c r="K33" i="4"/>
  <c r="D33" i="4"/>
  <c r="G33" i="4" s="1"/>
  <c r="H33" i="4" s="1"/>
  <c r="J33" i="4" s="1"/>
  <c r="L32" i="4"/>
  <c r="K32" i="4"/>
  <c r="G32" i="4"/>
  <c r="H32" i="4" s="1"/>
  <c r="J32" i="4" s="1"/>
  <c r="D32" i="4"/>
  <c r="L31" i="4"/>
  <c r="K31" i="4"/>
  <c r="D31" i="4"/>
  <c r="G31" i="4" s="1"/>
  <c r="H31" i="4" s="1"/>
  <c r="J31" i="4" s="1"/>
  <c r="L30" i="4"/>
  <c r="K30" i="4"/>
  <c r="G30" i="4"/>
  <c r="H30" i="4" s="1"/>
  <c r="J30" i="4" s="1"/>
  <c r="D30" i="4"/>
  <c r="L29" i="4"/>
  <c r="K29" i="4"/>
  <c r="D29" i="4"/>
  <c r="G29" i="4" s="1"/>
  <c r="H29" i="4" s="1"/>
  <c r="J29" i="4" s="1"/>
  <c r="L28" i="4"/>
  <c r="K28" i="4"/>
  <c r="G28" i="4"/>
  <c r="H28" i="4" s="1"/>
  <c r="J28" i="4" s="1"/>
  <c r="D28" i="4"/>
  <c r="L27" i="4"/>
  <c r="K27" i="4"/>
  <c r="D27" i="4"/>
  <c r="G27" i="4" s="1"/>
  <c r="H27" i="4" s="1"/>
  <c r="J27" i="4" s="1"/>
  <c r="L26" i="4"/>
  <c r="K26" i="4"/>
  <c r="G26" i="4"/>
  <c r="H26" i="4" s="1"/>
  <c r="J26" i="4" s="1"/>
  <c r="D26" i="4"/>
  <c r="L25" i="4"/>
  <c r="K25" i="4"/>
  <c r="D25" i="4"/>
  <c r="G25" i="4" s="1"/>
  <c r="H25" i="4" s="1"/>
  <c r="J25" i="4" s="1"/>
  <c r="L24" i="4"/>
  <c r="K24" i="4"/>
  <c r="G24" i="4"/>
  <c r="H24" i="4" s="1"/>
  <c r="J24" i="4" s="1"/>
  <c r="D24" i="4"/>
  <c r="L23" i="4"/>
  <c r="K23" i="4"/>
  <c r="D23" i="4"/>
  <c r="G23" i="4" s="1"/>
  <c r="H23" i="4" s="1"/>
  <c r="J23" i="4" s="1"/>
  <c r="L22" i="4"/>
  <c r="K22" i="4"/>
  <c r="G22" i="4"/>
  <c r="H22" i="4" s="1"/>
  <c r="J22" i="4" s="1"/>
  <c r="D22" i="4"/>
  <c r="L21" i="4"/>
  <c r="K21" i="4"/>
  <c r="D21" i="4"/>
  <c r="G21" i="4" s="1"/>
  <c r="H21" i="4" s="1"/>
  <c r="J21" i="4" s="1"/>
  <c r="L20" i="4"/>
  <c r="K20" i="4"/>
  <c r="G20" i="4"/>
  <c r="H20" i="4" s="1"/>
  <c r="J20" i="4" s="1"/>
  <c r="D20" i="4"/>
  <c r="L19" i="4"/>
  <c r="K19" i="4"/>
  <c r="D19" i="4"/>
  <c r="G19" i="4" s="1"/>
  <c r="H19" i="4" s="1"/>
  <c r="J19" i="4" s="1"/>
  <c r="L18" i="4"/>
  <c r="K18" i="4"/>
  <c r="G18" i="4"/>
  <c r="H18" i="4" s="1"/>
  <c r="J18" i="4" s="1"/>
  <c r="D18" i="4"/>
  <c r="L17" i="4"/>
  <c r="K17" i="4"/>
  <c r="D17" i="4"/>
  <c r="G17" i="4" s="1"/>
  <c r="H17" i="4" s="1"/>
  <c r="J17" i="4" s="1"/>
  <c r="L16" i="4"/>
  <c r="K16" i="4"/>
  <c r="G16" i="4"/>
  <c r="H16" i="4" s="1"/>
  <c r="J16" i="4" s="1"/>
  <c r="D16" i="4"/>
  <c r="L15" i="4"/>
  <c r="K15" i="4"/>
  <c r="D15" i="4"/>
  <c r="G15" i="4" s="1"/>
  <c r="H15" i="4" s="1"/>
  <c r="J15" i="4" s="1"/>
  <c r="L14" i="4"/>
  <c r="K14" i="4"/>
  <c r="G14" i="4"/>
  <c r="H14" i="4" s="1"/>
  <c r="J14" i="4" s="1"/>
  <c r="D14" i="4"/>
  <c r="L13" i="4"/>
  <c r="K13" i="4"/>
  <c r="D13" i="4"/>
  <c r="G13" i="4" s="1"/>
  <c r="H13" i="4" s="1"/>
  <c r="J13" i="4" s="1"/>
  <c r="L12" i="4"/>
  <c r="K12" i="4"/>
  <c r="G12" i="4"/>
  <c r="H12" i="4" s="1"/>
  <c r="J12" i="4" s="1"/>
  <c r="D12" i="4"/>
  <c r="L11" i="4"/>
  <c r="K11" i="4"/>
  <c r="D11" i="4"/>
  <c r="G11" i="4" s="1"/>
  <c r="H11" i="4" s="1"/>
  <c r="J11" i="4" s="1"/>
  <c r="L10" i="4"/>
  <c r="K10" i="4"/>
  <c r="G10" i="4"/>
  <c r="H10" i="4" s="1"/>
  <c r="J10" i="4" s="1"/>
  <c r="D10" i="4"/>
  <c r="L9" i="4"/>
  <c r="K9" i="4"/>
  <c r="D9" i="4"/>
  <c r="G9" i="4" s="1"/>
  <c r="H9" i="4" s="1"/>
  <c r="J9" i="4" s="1"/>
  <c r="L8" i="4"/>
  <c r="K8" i="4"/>
  <c r="G8" i="4"/>
  <c r="H8" i="4" s="1"/>
  <c r="J8" i="4" s="1"/>
  <c r="D8" i="4"/>
  <c r="L7" i="4"/>
  <c r="K7" i="4"/>
  <c r="D7" i="4"/>
  <c r="G7" i="4" s="1"/>
  <c r="H7" i="4" s="1"/>
  <c r="J7" i="4" s="1"/>
  <c r="L6" i="4"/>
  <c r="K6" i="4"/>
  <c r="G6" i="4"/>
  <c r="H6" i="4" s="1"/>
  <c r="J6" i="4" s="1"/>
  <c r="D6" i="4"/>
  <c r="L5" i="4"/>
  <c r="K5" i="4"/>
  <c r="D5" i="4"/>
  <c r="G5" i="4" s="1"/>
  <c r="H5" i="4" s="1"/>
  <c r="J5" i="4" s="1"/>
  <c r="L4" i="4"/>
  <c r="K4" i="4"/>
  <c r="G4" i="4"/>
  <c r="H4" i="4" s="1"/>
  <c r="J4" i="4" s="1"/>
  <c r="D4" i="4"/>
  <c r="L3" i="4"/>
  <c r="K3" i="4"/>
  <c r="D3" i="4"/>
  <c r="G3" i="4" s="1"/>
  <c r="H3" i="4" s="1"/>
  <c r="J3" i="4" s="1"/>
  <c r="L2" i="4"/>
  <c r="K2" i="4"/>
  <c r="G2" i="4"/>
  <c r="H2" i="4" s="1"/>
  <c r="J2" i="4" s="1"/>
  <c r="D2" i="4"/>
  <c r="L51" i="3"/>
  <c r="K51" i="3"/>
  <c r="G51" i="3"/>
  <c r="H51" i="3" s="1"/>
  <c r="J51" i="3" s="1"/>
  <c r="D51" i="3"/>
  <c r="L50" i="3"/>
  <c r="K50" i="3"/>
  <c r="D50" i="3"/>
  <c r="G50" i="3" s="1"/>
  <c r="H50" i="3" s="1"/>
  <c r="J50" i="3" s="1"/>
  <c r="L49" i="3"/>
  <c r="K49" i="3"/>
  <c r="G49" i="3"/>
  <c r="H49" i="3" s="1"/>
  <c r="J49" i="3" s="1"/>
  <c r="D49" i="3"/>
  <c r="L48" i="3"/>
  <c r="K48" i="3"/>
  <c r="D48" i="3"/>
  <c r="G48" i="3" s="1"/>
  <c r="H48" i="3" s="1"/>
  <c r="J48" i="3" s="1"/>
  <c r="L47" i="3"/>
  <c r="K47" i="3"/>
  <c r="G47" i="3"/>
  <c r="H47" i="3" s="1"/>
  <c r="J47" i="3" s="1"/>
  <c r="D47" i="3"/>
  <c r="L46" i="3"/>
  <c r="K46" i="3"/>
  <c r="D46" i="3"/>
  <c r="G46" i="3" s="1"/>
  <c r="H46" i="3" s="1"/>
  <c r="J46" i="3" s="1"/>
  <c r="L45" i="3"/>
  <c r="K45" i="3"/>
  <c r="G45" i="3"/>
  <c r="H45" i="3" s="1"/>
  <c r="J45" i="3" s="1"/>
  <c r="D45" i="3"/>
  <c r="L44" i="3"/>
  <c r="K44" i="3"/>
  <c r="D44" i="3"/>
  <c r="G44" i="3" s="1"/>
  <c r="H44" i="3" s="1"/>
  <c r="J44" i="3" s="1"/>
  <c r="L43" i="3"/>
  <c r="K43" i="3"/>
  <c r="G43" i="3"/>
  <c r="H43" i="3" s="1"/>
  <c r="J43" i="3" s="1"/>
  <c r="D43" i="3"/>
  <c r="L42" i="3"/>
  <c r="K42" i="3"/>
  <c r="D42" i="3"/>
  <c r="G42" i="3" s="1"/>
  <c r="H42" i="3" s="1"/>
  <c r="J42" i="3" s="1"/>
  <c r="L41" i="3"/>
  <c r="K41" i="3"/>
  <c r="G41" i="3"/>
  <c r="H41" i="3" s="1"/>
  <c r="J41" i="3" s="1"/>
  <c r="D41" i="3"/>
  <c r="L40" i="3"/>
  <c r="K40" i="3"/>
  <c r="D40" i="3"/>
  <c r="G40" i="3" s="1"/>
  <c r="H40" i="3" s="1"/>
  <c r="J40" i="3" s="1"/>
  <c r="L39" i="3"/>
  <c r="K39" i="3"/>
  <c r="G39" i="3"/>
  <c r="H39" i="3" s="1"/>
  <c r="J39" i="3" s="1"/>
  <c r="D39" i="3"/>
  <c r="L38" i="3"/>
  <c r="K38" i="3"/>
  <c r="D38" i="3"/>
  <c r="G38" i="3" s="1"/>
  <c r="H38" i="3" s="1"/>
  <c r="J38" i="3" s="1"/>
  <c r="L37" i="3"/>
  <c r="K37" i="3"/>
  <c r="G37" i="3"/>
  <c r="H37" i="3" s="1"/>
  <c r="J37" i="3" s="1"/>
  <c r="D37" i="3"/>
  <c r="L36" i="3"/>
  <c r="K36" i="3"/>
  <c r="D36" i="3"/>
  <c r="G36" i="3" s="1"/>
  <c r="H36" i="3" s="1"/>
  <c r="J36" i="3" s="1"/>
  <c r="L35" i="3"/>
  <c r="K35" i="3"/>
  <c r="G35" i="3"/>
  <c r="H35" i="3" s="1"/>
  <c r="J35" i="3" s="1"/>
  <c r="D35" i="3"/>
  <c r="L34" i="3"/>
  <c r="K34" i="3"/>
  <c r="D34" i="3"/>
  <c r="G34" i="3" s="1"/>
  <c r="H34" i="3" s="1"/>
  <c r="J34" i="3" s="1"/>
  <c r="L33" i="3"/>
  <c r="K33" i="3"/>
  <c r="G33" i="3"/>
  <c r="H33" i="3" s="1"/>
  <c r="J33" i="3" s="1"/>
  <c r="D33" i="3"/>
  <c r="L32" i="3"/>
  <c r="K32" i="3"/>
  <c r="D32" i="3"/>
  <c r="G32" i="3" s="1"/>
  <c r="H32" i="3" s="1"/>
  <c r="J32" i="3" s="1"/>
  <c r="L31" i="3"/>
  <c r="K31" i="3"/>
  <c r="G31" i="3"/>
  <c r="H31" i="3" s="1"/>
  <c r="J31" i="3" s="1"/>
  <c r="D31" i="3"/>
  <c r="L30" i="3"/>
  <c r="K30" i="3"/>
  <c r="D30" i="3"/>
  <c r="G30" i="3" s="1"/>
  <c r="H30" i="3" s="1"/>
  <c r="J30" i="3" s="1"/>
  <c r="L29" i="3"/>
  <c r="K29" i="3"/>
  <c r="G29" i="3"/>
  <c r="H29" i="3" s="1"/>
  <c r="J29" i="3" s="1"/>
  <c r="D29" i="3"/>
  <c r="L28" i="3"/>
  <c r="K28" i="3"/>
  <c r="D28" i="3"/>
  <c r="G28" i="3" s="1"/>
  <c r="H28" i="3" s="1"/>
  <c r="J28" i="3" s="1"/>
  <c r="L27" i="3"/>
  <c r="K27" i="3"/>
  <c r="G27" i="3"/>
  <c r="H27" i="3" s="1"/>
  <c r="J27" i="3" s="1"/>
  <c r="D27" i="3"/>
  <c r="L26" i="3"/>
  <c r="K26" i="3"/>
  <c r="D26" i="3"/>
  <c r="G26" i="3" s="1"/>
  <c r="H26" i="3" s="1"/>
  <c r="J26" i="3" s="1"/>
  <c r="L25" i="3"/>
  <c r="K25" i="3"/>
  <c r="G25" i="3"/>
  <c r="H25" i="3" s="1"/>
  <c r="J25" i="3" s="1"/>
  <c r="D25" i="3"/>
  <c r="L24" i="3"/>
  <c r="K24" i="3"/>
  <c r="D24" i="3"/>
  <c r="G24" i="3" s="1"/>
  <c r="H24" i="3" s="1"/>
  <c r="J24" i="3" s="1"/>
  <c r="L23" i="3"/>
  <c r="K23" i="3"/>
  <c r="G23" i="3"/>
  <c r="H23" i="3" s="1"/>
  <c r="J23" i="3" s="1"/>
  <c r="D23" i="3"/>
  <c r="L22" i="3"/>
  <c r="K22" i="3"/>
  <c r="D22" i="3"/>
  <c r="G22" i="3" s="1"/>
  <c r="H22" i="3" s="1"/>
  <c r="J22" i="3" s="1"/>
  <c r="L21" i="3"/>
  <c r="K21" i="3"/>
  <c r="G21" i="3"/>
  <c r="H21" i="3" s="1"/>
  <c r="J21" i="3" s="1"/>
  <c r="D21" i="3"/>
  <c r="L20" i="3"/>
  <c r="K20" i="3"/>
  <c r="D20" i="3"/>
  <c r="G20" i="3" s="1"/>
  <c r="H20" i="3" s="1"/>
  <c r="J20" i="3" s="1"/>
  <c r="L19" i="3"/>
  <c r="K19" i="3"/>
  <c r="G19" i="3"/>
  <c r="H19" i="3" s="1"/>
  <c r="J19" i="3" s="1"/>
  <c r="D19" i="3"/>
  <c r="L18" i="3"/>
  <c r="K18" i="3"/>
  <c r="D18" i="3"/>
  <c r="G18" i="3" s="1"/>
  <c r="H18" i="3" s="1"/>
  <c r="J18" i="3" s="1"/>
  <c r="L17" i="3"/>
  <c r="K17" i="3"/>
  <c r="G17" i="3"/>
  <c r="H17" i="3" s="1"/>
  <c r="J17" i="3" s="1"/>
  <c r="D17" i="3"/>
  <c r="L16" i="3"/>
  <c r="K16" i="3"/>
  <c r="D16" i="3"/>
  <c r="G16" i="3" s="1"/>
  <c r="H16" i="3" s="1"/>
  <c r="J16" i="3" s="1"/>
  <c r="L15" i="3"/>
  <c r="K15" i="3"/>
  <c r="G15" i="3"/>
  <c r="H15" i="3" s="1"/>
  <c r="J15" i="3" s="1"/>
  <c r="D15" i="3"/>
  <c r="L14" i="3"/>
  <c r="K14" i="3"/>
  <c r="D14" i="3"/>
  <c r="G14" i="3" s="1"/>
  <c r="H14" i="3" s="1"/>
  <c r="J14" i="3" s="1"/>
  <c r="L13" i="3"/>
  <c r="K13" i="3"/>
  <c r="G13" i="3"/>
  <c r="H13" i="3" s="1"/>
  <c r="J13" i="3" s="1"/>
  <c r="D13" i="3"/>
  <c r="L12" i="3"/>
  <c r="K12" i="3"/>
  <c r="D12" i="3"/>
  <c r="G12" i="3" s="1"/>
  <c r="H12" i="3" s="1"/>
  <c r="J12" i="3" s="1"/>
  <c r="L11" i="3"/>
  <c r="K11" i="3"/>
  <c r="G11" i="3"/>
  <c r="H11" i="3" s="1"/>
  <c r="J11" i="3" s="1"/>
  <c r="D11" i="3"/>
  <c r="L10" i="3"/>
  <c r="K10" i="3"/>
  <c r="D10" i="3"/>
  <c r="G10" i="3" s="1"/>
  <c r="H10" i="3" s="1"/>
  <c r="J10" i="3" s="1"/>
  <c r="L9" i="3"/>
  <c r="K9" i="3"/>
  <c r="G9" i="3"/>
  <c r="H9" i="3" s="1"/>
  <c r="J9" i="3" s="1"/>
  <c r="D9" i="3"/>
  <c r="L8" i="3"/>
  <c r="K8" i="3"/>
  <c r="D8" i="3"/>
  <c r="G8" i="3" s="1"/>
  <c r="H8" i="3" s="1"/>
  <c r="J8" i="3" s="1"/>
  <c r="L7" i="3"/>
  <c r="K7" i="3"/>
  <c r="G7" i="3"/>
  <c r="H7" i="3" s="1"/>
  <c r="J7" i="3" s="1"/>
  <c r="D7" i="3"/>
  <c r="L6" i="3"/>
  <c r="K6" i="3"/>
  <c r="D6" i="3"/>
  <c r="G6" i="3" s="1"/>
  <c r="H6" i="3" s="1"/>
  <c r="J6" i="3" s="1"/>
  <c r="L5" i="3"/>
  <c r="K5" i="3"/>
  <c r="G5" i="3"/>
  <c r="H5" i="3" s="1"/>
  <c r="J5" i="3" s="1"/>
  <c r="D5" i="3"/>
  <c r="L4" i="3"/>
  <c r="K4" i="3"/>
  <c r="D4" i="3"/>
  <c r="G4" i="3" s="1"/>
  <c r="H4" i="3" s="1"/>
  <c r="J4" i="3" s="1"/>
  <c r="L3" i="3"/>
  <c r="K3" i="3"/>
  <c r="G3" i="3"/>
  <c r="H3" i="3" s="1"/>
  <c r="J3" i="3" s="1"/>
  <c r="D3" i="3"/>
  <c r="L2" i="3"/>
  <c r="K2" i="3"/>
  <c r="D2" i="3"/>
  <c r="G2" i="3" s="1"/>
  <c r="H2" i="3" s="1"/>
  <c r="J2" i="3" s="1"/>
  <c r="L51" i="2"/>
  <c r="K51" i="2"/>
  <c r="D51" i="2"/>
  <c r="G51" i="2" s="1"/>
  <c r="H51" i="2" s="1"/>
  <c r="J51" i="2" s="1"/>
  <c r="L50" i="2"/>
  <c r="K50" i="2"/>
  <c r="D50" i="2"/>
  <c r="G50" i="2" s="1"/>
  <c r="H50" i="2" s="1"/>
  <c r="J50" i="2" s="1"/>
  <c r="L49" i="2"/>
  <c r="K49" i="2"/>
  <c r="D49" i="2"/>
  <c r="G49" i="2" s="1"/>
  <c r="H49" i="2" s="1"/>
  <c r="J49" i="2" s="1"/>
  <c r="L48" i="2"/>
  <c r="K48" i="2"/>
  <c r="D48" i="2"/>
  <c r="G48" i="2" s="1"/>
  <c r="H48" i="2" s="1"/>
  <c r="J48" i="2" s="1"/>
  <c r="L47" i="2"/>
  <c r="K47" i="2"/>
  <c r="D47" i="2"/>
  <c r="G47" i="2" s="1"/>
  <c r="H47" i="2" s="1"/>
  <c r="J47" i="2" s="1"/>
  <c r="L46" i="2"/>
  <c r="K46" i="2"/>
  <c r="D46" i="2"/>
  <c r="G46" i="2" s="1"/>
  <c r="H46" i="2" s="1"/>
  <c r="J46" i="2" s="1"/>
  <c r="L45" i="2"/>
  <c r="K45" i="2"/>
  <c r="D45" i="2"/>
  <c r="G45" i="2" s="1"/>
  <c r="H45" i="2" s="1"/>
  <c r="J45" i="2" s="1"/>
  <c r="L44" i="2"/>
  <c r="K44" i="2"/>
  <c r="D44" i="2"/>
  <c r="G44" i="2" s="1"/>
  <c r="H44" i="2" s="1"/>
  <c r="J44" i="2" s="1"/>
  <c r="L43" i="2"/>
  <c r="K43" i="2"/>
  <c r="D43" i="2"/>
  <c r="G43" i="2" s="1"/>
  <c r="H43" i="2" s="1"/>
  <c r="J43" i="2" s="1"/>
  <c r="L42" i="2"/>
  <c r="K42" i="2"/>
  <c r="D42" i="2"/>
  <c r="G42" i="2" s="1"/>
  <c r="H42" i="2" s="1"/>
  <c r="J42" i="2" s="1"/>
  <c r="L41" i="2"/>
  <c r="K41" i="2"/>
  <c r="D41" i="2"/>
  <c r="G41" i="2" s="1"/>
  <c r="H41" i="2" s="1"/>
  <c r="J41" i="2" s="1"/>
  <c r="L40" i="2"/>
  <c r="K40" i="2"/>
  <c r="D40" i="2"/>
  <c r="G40" i="2" s="1"/>
  <c r="H40" i="2" s="1"/>
  <c r="J40" i="2" s="1"/>
  <c r="L39" i="2"/>
  <c r="K39" i="2"/>
  <c r="D39" i="2"/>
  <c r="G39" i="2" s="1"/>
  <c r="H39" i="2" s="1"/>
  <c r="J39" i="2" s="1"/>
  <c r="L38" i="2"/>
  <c r="K38" i="2"/>
  <c r="D38" i="2"/>
  <c r="G38" i="2" s="1"/>
  <c r="H38" i="2" s="1"/>
  <c r="J38" i="2" s="1"/>
  <c r="L37" i="2"/>
  <c r="K37" i="2"/>
  <c r="D37" i="2"/>
  <c r="G37" i="2" s="1"/>
  <c r="H37" i="2" s="1"/>
  <c r="J37" i="2" s="1"/>
  <c r="L36" i="2"/>
  <c r="K36" i="2"/>
  <c r="D36" i="2"/>
  <c r="G36" i="2" s="1"/>
  <c r="H36" i="2" s="1"/>
  <c r="J36" i="2" s="1"/>
  <c r="L35" i="2"/>
  <c r="K35" i="2"/>
  <c r="D35" i="2"/>
  <c r="G35" i="2" s="1"/>
  <c r="H35" i="2" s="1"/>
  <c r="J35" i="2" s="1"/>
  <c r="L34" i="2"/>
  <c r="K34" i="2"/>
  <c r="D34" i="2"/>
  <c r="G34" i="2" s="1"/>
  <c r="H34" i="2" s="1"/>
  <c r="J34" i="2" s="1"/>
  <c r="L33" i="2"/>
  <c r="K33" i="2"/>
  <c r="D33" i="2"/>
  <c r="G33" i="2" s="1"/>
  <c r="H33" i="2" s="1"/>
  <c r="J33" i="2" s="1"/>
  <c r="L32" i="2"/>
  <c r="K32" i="2"/>
  <c r="D32" i="2"/>
  <c r="G32" i="2" s="1"/>
  <c r="H32" i="2" s="1"/>
  <c r="J32" i="2" s="1"/>
  <c r="L31" i="2"/>
  <c r="K31" i="2"/>
  <c r="D31" i="2"/>
  <c r="G31" i="2" s="1"/>
  <c r="H31" i="2" s="1"/>
  <c r="J31" i="2" s="1"/>
  <c r="L30" i="2"/>
  <c r="K30" i="2"/>
  <c r="D30" i="2"/>
  <c r="G30" i="2" s="1"/>
  <c r="H30" i="2" s="1"/>
  <c r="J30" i="2" s="1"/>
  <c r="L29" i="2"/>
  <c r="K29" i="2"/>
  <c r="D29" i="2"/>
  <c r="G29" i="2" s="1"/>
  <c r="H29" i="2" s="1"/>
  <c r="J29" i="2" s="1"/>
  <c r="L28" i="2"/>
  <c r="K28" i="2"/>
  <c r="D28" i="2"/>
  <c r="G28" i="2" s="1"/>
  <c r="H28" i="2" s="1"/>
  <c r="J28" i="2" s="1"/>
  <c r="L27" i="2"/>
  <c r="K27" i="2"/>
  <c r="D27" i="2"/>
  <c r="G27" i="2" s="1"/>
  <c r="H27" i="2" s="1"/>
  <c r="J27" i="2" s="1"/>
  <c r="L26" i="2"/>
  <c r="K26" i="2"/>
  <c r="D26" i="2"/>
  <c r="G26" i="2" s="1"/>
  <c r="H26" i="2" s="1"/>
  <c r="J26" i="2" s="1"/>
  <c r="L25" i="2"/>
  <c r="K25" i="2"/>
  <c r="D25" i="2"/>
  <c r="G25" i="2" s="1"/>
  <c r="H25" i="2" s="1"/>
  <c r="J25" i="2" s="1"/>
  <c r="L24" i="2"/>
  <c r="K24" i="2"/>
  <c r="D24" i="2"/>
  <c r="G24" i="2" s="1"/>
  <c r="H24" i="2" s="1"/>
  <c r="J24" i="2" s="1"/>
  <c r="L23" i="2"/>
  <c r="K23" i="2"/>
  <c r="D23" i="2"/>
  <c r="G23" i="2" s="1"/>
  <c r="H23" i="2" s="1"/>
  <c r="J23" i="2" s="1"/>
  <c r="L22" i="2"/>
  <c r="K22" i="2"/>
  <c r="D22" i="2"/>
  <c r="G22" i="2" s="1"/>
  <c r="H22" i="2" s="1"/>
  <c r="J22" i="2" s="1"/>
  <c r="L21" i="2"/>
  <c r="K21" i="2"/>
  <c r="D21" i="2"/>
  <c r="G21" i="2" s="1"/>
  <c r="H21" i="2" s="1"/>
  <c r="J21" i="2" s="1"/>
  <c r="L20" i="2"/>
  <c r="K20" i="2"/>
  <c r="D20" i="2"/>
  <c r="G20" i="2" s="1"/>
  <c r="H20" i="2" s="1"/>
  <c r="J20" i="2" s="1"/>
  <c r="L19" i="2"/>
  <c r="K19" i="2"/>
  <c r="D19" i="2"/>
  <c r="G19" i="2" s="1"/>
  <c r="H19" i="2" s="1"/>
  <c r="J19" i="2" s="1"/>
  <c r="L18" i="2"/>
  <c r="K18" i="2"/>
  <c r="D18" i="2"/>
  <c r="G18" i="2" s="1"/>
  <c r="H18" i="2" s="1"/>
  <c r="J18" i="2" s="1"/>
  <c r="L17" i="2"/>
  <c r="K17" i="2"/>
  <c r="D17" i="2"/>
  <c r="G17" i="2" s="1"/>
  <c r="H17" i="2" s="1"/>
  <c r="J17" i="2" s="1"/>
  <c r="L16" i="2"/>
  <c r="K16" i="2"/>
  <c r="D16" i="2"/>
  <c r="G16" i="2" s="1"/>
  <c r="H16" i="2" s="1"/>
  <c r="J16" i="2" s="1"/>
  <c r="L15" i="2"/>
  <c r="K15" i="2"/>
  <c r="D15" i="2"/>
  <c r="G15" i="2" s="1"/>
  <c r="H15" i="2" s="1"/>
  <c r="J15" i="2" s="1"/>
  <c r="L14" i="2"/>
  <c r="K14" i="2"/>
  <c r="D14" i="2"/>
  <c r="G14" i="2" s="1"/>
  <c r="H14" i="2" s="1"/>
  <c r="J14" i="2" s="1"/>
  <c r="L13" i="2"/>
  <c r="K13" i="2"/>
  <c r="D13" i="2"/>
  <c r="G13" i="2" s="1"/>
  <c r="H13" i="2" s="1"/>
  <c r="J13" i="2" s="1"/>
  <c r="L12" i="2"/>
  <c r="K12" i="2"/>
  <c r="D12" i="2"/>
  <c r="G12" i="2" s="1"/>
  <c r="H12" i="2" s="1"/>
  <c r="J12" i="2" s="1"/>
  <c r="L11" i="2"/>
  <c r="K11" i="2"/>
  <c r="D11" i="2"/>
  <c r="G11" i="2" s="1"/>
  <c r="H11" i="2" s="1"/>
  <c r="J11" i="2" s="1"/>
  <c r="L10" i="2"/>
  <c r="K10" i="2"/>
  <c r="D10" i="2"/>
  <c r="G10" i="2" s="1"/>
  <c r="H10" i="2" s="1"/>
  <c r="J10" i="2" s="1"/>
  <c r="L9" i="2"/>
  <c r="K9" i="2"/>
  <c r="D9" i="2"/>
  <c r="G9" i="2" s="1"/>
  <c r="H9" i="2" s="1"/>
  <c r="J9" i="2" s="1"/>
  <c r="L8" i="2"/>
  <c r="K8" i="2"/>
  <c r="D8" i="2"/>
  <c r="G8" i="2" s="1"/>
  <c r="H8" i="2" s="1"/>
  <c r="J8" i="2" s="1"/>
  <c r="L7" i="2"/>
  <c r="K7" i="2"/>
  <c r="D7" i="2"/>
  <c r="G7" i="2" s="1"/>
  <c r="H7" i="2" s="1"/>
  <c r="J7" i="2" s="1"/>
  <c r="L6" i="2"/>
  <c r="K6" i="2"/>
  <c r="D6" i="2"/>
  <c r="G6" i="2" s="1"/>
  <c r="H6" i="2" s="1"/>
  <c r="J6" i="2" s="1"/>
  <c r="L5" i="2"/>
  <c r="K5" i="2"/>
  <c r="D5" i="2"/>
  <c r="G5" i="2" s="1"/>
  <c r="H5" i="2" s="1"/>
  <c r="J5" i="2" s="1"/>
  <c r="L4" i="2"/>
  <c r="K4" i="2"/>
  <c r="D4" i="2"/>
  <c r="G4" i="2" s="1"/>
  <c r="H4" i="2" s="1"/>
  <c r="J4" i="2" s="1"/>
  <c r="L3" i="2"/>
  <c r="K3" i="2"/>
  <c r="D3" i="2"/>
  <c r="G3" i="2" s="1"/>
  <c r="H3" i="2" s="1"/>
  <c r="J3" i="2" s="1"/>
  <c r="L2" i="2"/>
  <c r="K2" i="2"/>
  <c r="D2" i="2"/>
  <c r="G2" i="2" s="1"/>
  <c r="H2" i="2" s="1"/>
  <c r="J2" i="2" s="1"/>
  <c r="L51" i="1"/>
  <c r="K51" i="1"/>
  <c r="D51" i="1"/>
  <c r="G51" i="1" s="1"/>
  <c r="H51" i="1" s="1"/>
  <c r="J51" i="1" s="1"/>
  <c r="L50" i="1"/>
  <c r="K50" i="1"/>
  <c r="D50" i="1"/>
  <c r="G50" i="1" s="1"/>
  <c r="H50" i="1" s="1"/>
  <c r="J50" i="1" s="1"/>
  <c r="L49" i="1"/>
  <c r="K49" i="1"/>
  <c r="G49" i="1"/>
  <c r="H49" i="1" s="1"/>
  <c r="J49" i="1" s="1"/>
  <c r="D49" i="1"/>
  <c r="L48" i="1"/>
  <c r="K48" i="1"/>
  <c r="D48" i="1"/>
  <c r="G48" i="1" s="1"/>
  <c r="H48" i="1" s="1"/>
  <c r="J48" i="1" s="1"/>
  <c r="L47" i="1"/>
  <c r="K47" i="1"/>
  <c r="G47" i="1"/>
  <c r="H47" i="1" s="1"/>
  <c r="J47" i="1" s="1"/>
  <c r="D47" i="1"/>
  <c r="L46" i="1"/>
  <c r="K46" i="1"/>
  <c r="D46" i="1"/>
  <c r="G46" i="1" s="1"/>
  <c r="H46" i="1" s="1"/>
  <c r="J46" i="1" s="1"/>
  <c r="L45" i="1"/>
  <c r="K45" i="1"/>
  <c r="G45" i="1"/>
  <c r="H45" i="1" s="1"/>
  <c r="J45" i="1" s="1"/>
  <c r="D45" i="1"/>
  <c r="L44" i="1"/>
  <c r="K44" i="1"/>
  <c r="D44" i="1"/>
  <c r="G44" i="1" s="1"/>
  <c r="H44" i="1" s="1"/>
  <c r="J44" i="1" s="1"/>
  <c r="L43" i="1"/>
  <c r="K43" i="1"/>
  <c r="G43" i="1"/>
  <c r="H43" i="1" s="1"/>
  <c r="J43" i="1" s="1"/>
  <c r="D43" i="1"/>
  <c r="L42" i="1"/>
  <c r="K42" i="1"/>
  <c r="D42" i="1"/>
  <c r="G42" i="1" s="1"/>
  <c r="H42" i="1" s="1"/>
  <c r="J42" i="1" s="1"/>
  <c r="L41" i="1"/>
  <c r="K41" i="1"/>
  <c r="G41" i="1"/>
  <c r="H41" i="1" s="1"/>
  <c r="J41" i="1" s="1"/>
  <c r="D41" i="1"/>
  <c r="L40" i="1"/>
  <c r="K40" i="1"/>
  <c r="D40" i="1"/>
  <c r="G40" i="1" s="1"/>
  <c r="H40" i="1" s="1"/>
  <c r="J40" i="1" s="1"/>
  <c r="L39" i="1"/>
  <c r="K39" i="1"/>
  <c r="G39" i="1"/>
  <c r="H39" i="1" s="1"/>
  <c r="J39" i="1" s="1"/>
  <c r="D39" i="1"/>
  <c r="L38" i="1"/>
  <c r="K38" i="1"/>
  <c r="D38" i="1"/>
  <c r="G38" i="1" s="1"/>
  <c r="H38" i="1" s="1"/>
  <c r="J38" i="1" s="1"/>
  <c r="L37" i="1"/>
  <c r="K37" i="1"/>
  <c r="G37" i="1"/>
  <c r="H37" i="1" s="1"/>
  <c r="J37" i="1" s="1"/>
  <c r="D37" i="1"/>
  <c r="L36" i="1"/>
  <c r="K36" i="1"/>
  <c r="D36" i="1"/>
  <c r="G36" i="1" s="1"/>
  <c r="H36" i="1" s="1"/>
  <c r="J36" i="1" s="1"/>
  <c r="L35" i="1"/>
  <c r="K35" i="1"/>
  <c r="G35" i="1"/>
  <c r="H35" i="1" s="1"/>
  <c r="J35" i="1" s="1"/>
  <c r="D35" i="1"/>
  <c r="L34" i="1"/>
  <c r="K34" i="1"/>
  <c r="D34" i="1"/>
  <c r="G34" i="1" s="1"/>
  <c r="H34" i="1" s="1"/>
  <c r="J34" i="1" s="1"/>
  <c r="L33" i="1"/>
  <c r="K33" i="1"/>
  <c r="G33" i="1"/>
  <c r="H33" i="1" s="1"/>
  <c r="J33" i="1" s="1"/>
  <c r="D33" i="1"/>
  <c r="L32" i="1"/>
  <c r="K32" i="1"/>
  <c r="D32" i="1"/>
  <c r="G32" i="1" s="1"/>
  <c r="H32" i="1" s="1"/>
  <c r="J32" i="1" s="1"/>
  <c r="L31" i="1"/>
  <c r="K31" i="1"/>
  <c r="G31" i="1"/>
  <c r="H31" i="1" s="1"/>
  <c r="J31" i="1" s="1"/>
  <c r="D31" i="1"/>
  <c r="L30" i="1"/>
  <c r="K30" i="1"/>
  <c r="D30" i="1"/>
  <c r="G30" i="1" s="1"/>
  <c r="H30" i="1" s="1"/>
  <c r="J30" i="1" s="1"/>
  <c r="L29" i="1"/>
  <c r="K29" i="1"/>
  <c r="G29" i="1"/>
  <c r="H29" i="1" s="1"/>
  <c r="J29" i="1" s="1"/>
  <c r="D29" i="1"/>
  <c r="L28" i="1"/>
  <c r="K28" i="1"/>
  <c r="D28" i="1"/>
  <c r="G28" i="1" s="1"/>
  <c r="H28" i="1" s="1"/>
  <c r="J28" i="1" s="1"/>
  <c r="L27" i="1"/>
  <c r="K27" i="1"/>
  <c r="G27" i="1"/>
  <c r="H27" i="1" s="1"/>
  <c r="J27" i="1" s="1"/>
  <c r="D27" i="1"/>
  <c r="L26" i="1"/>
  <c r="K26" i="1"/>
  <c r="D26" i="1"/>
  <c r="G26" i="1" s="1"/>
  <c r="H26" i="1" s="1"/>
  <c r="J26" i="1" s="1"/>
  <c r="L25" i="1"/>
  <c r="K25" i="1"/>
  <c r="G25" i="1"/>
  <c r="H25" i="1" s="1"/>
  <c r="J25" i="1" s="1"/>
  <c r="D25" i="1"/>
  <c r="L24" i="1"/>
  <c r="K24" i="1"/>
  <c r="D24" i="1"/>
  <c r="G24" i="1" s="1"/>
  <c r="H24" i="1" s="1"/>
  <c r="J24" i="1" s="1"/>
  <c r="L23" i="1"/>
  <c r="K23" i="1"/>
  <c r="G23" i="1"/>
  <c r="H23" i="1" s="1"/>
  <c r="J23" i="1" s="1"/>
  <c r="D23" i="1"/>
  <c r="L22" i="1"/>
  <c r="K22" i="1"/>
  <c r="D22" i="1"/>
  <c r="G22" i="1" s="1"/>
  <c r="H22" i="1" s="1"/>
  <c r="J22" i="1" s="1"/>
  <c r="L21" i="1"/>
  <c r="K21" i="1"/>
  <c r="G21" i="1"/>
  <c r="H21" i="1" s="1"/>
  <c r="J21" i="1" s="1"/>
  <c r="D21" i="1"/>
  <c r="L20" i="1"/>
  <c r="K20" i="1"/>
  <c r="D20" i="1"/>
  <c r="G20" i="1" s="1"/>
  <c r="H20" i="1" s="1"/>
  <c r="J20" i="1" s="1"/>
  <c r="L19" i="1"/>
  <c r="K19" i="1"/>
  <c r="G19" i="1"/>
  <c r="H19" i="1" s="1"/>
  <c r="J19" i="1" s="1"/>
  <c r="D19" i="1"/>
  <c r="L18" i="1"/>
  <c r="K18" i="1"/>
  <c r="D18" i="1"/>
  <c r="G18" i="1" s="1"/>
  <c r="H18" i="1" s="1"/>
  <c r="J18" i="1" s="1"/>
  <c r="L17" i="1"/>
  <c r="K17" i="1"/>
  <c r="G17" i="1"/>
  <c r="H17" i="1" s="1"/>
  <c r="J17" i="1" s="1"/>
  <c r="D17" i="1"/>
  <c r="L16" i="1"/>
  <c r="K16" i="1"/>
  <c r="D16" i="1"/>
  <c r="G16" i="1" s="1"/>
  <c r="H16" i="1" s="1"/>
  <c r="J16" i="1" s="1"/>
  <c r="L15" i="1"/>
  <c r="K15" i="1"/>
  <c r="G15" i="1"/>
  <c r="H15" i="1" s="1"/>
  <c r="J15" i="1" s="1"/>
  <c r="D15" i="1"/>
  <c r="L14" i="1"/>
  <c r="K14" i="1"/>
  <c r="D14" i="1"/>
  <c r="G14" i="1" s="1"/>
  <c r="H14" i="1" s="1"/>
  <c r="J14" i="1" s="1"/>
  <c r="L13" i="1"/>
  <c r="K13" i="1"/>
  <c r="G13" i="1"/>
  <c r="H13" i="1" s="1"/>
  <c r="J13" i="1" s="1"/>
  <c r="D13" i="1"/>
  <c r="L12" i="1"/>
  <c r="K12" i="1"/>
  <c r="D12" i="1"/>
  <c r="G12" i="1" s="1"/>
  <c r="H12" i="1" s="1"/>
  <c r="J12" i="1" s="1"/>
  <c r="L11" i="1"/>
  <c r="K11" i="1"/>
  <c r="G11" i="1"/>
  <c r="H11" i="1" s="1"/>
  <c r="J11" i="1" s="1"/>
  <c r="D11" i="1"/>
  <c r="L10" i="1"/>
  <c r="K10" i="1"/>
  <c r="D10" i="1"/>
  <c r="G10" i="1" s="1"/>
  <c r="H10" i="1" s="1"/>
  <c r="J10" i="1" s="1"/>
  <c r="L9" i="1"/>
  <c r="K9" i="1"/>
  <c r="G9" i="1"/>
  <c r="H9" i="1" s="1"/>
  <c r="J9" i="1" s="1"/>
  <c r="D9" i="1"/>
  <c r="L8" i="1"/>
  <c r="K8" i="1"/>
  <c r="D8" i="1"/>
  <c r="G8" i="1" s="1"/>
  <c r="H8" i="1" s="1"/>
  <c r="J8" i="1" s="1"/>
  <c r="L7" i="1"/>
  <c r="K7" i="1"/>
  <c r="G7" i="1"/>
  <c r="H7" i="1" s="1"/>
  <c r="J7" i="1" s="1"/>
  <c r="D7" i="1"/>
  <c r="L6" i="1"/>
  <c r="K6" i="1"/>
  <c r="D6" i="1"/>
  <c r="G6" i="1" s="1"/>
  <c r="H6" i="1" s="1"/>
  <c r="J6" i="1" s="1"/>
  <c r="L5" i="1"/>
  <c r="K5" i="1"/>
  <c r="G5" i="1"/>
  <c r="H5" i="1" s="1"/>
  <c r="J5" i="1" s="1"/>
  <c r="D5" i="1"/>
  <c r="L4" i="1"/>
  <c r="K4" i="1"/>
  <c r="D4" i="1"/>
  <c r="G4" i="1" s="1"/>
  <c r="H4" i="1" s="1"/>
  <c r="J4" i="1" s="1"/>
  <c r="L3" i="1"/>
  <c r="K3" i="1"/>
  <c r="G3" i="1"/>
  <c r="H3" i="1" s="1"/>
  <c r="J3" i="1" s="1"/>
  <c r="D3" i="1"/>
  <c r="L2" i="1"/>
  <c r="K2" i="1"/>
  <c r="D2" i="1"/>
  <c r="G2" i="1" s="1"/>
  <c r="H2" i="1" s="1"/>
  <c r="J2" i="1" s="1"/>
  <c r="G14" i="10" l="1"/>
  <c r="I14" i="10" s="1"/>
  <c r="G24" i="10"/>
  <c r="I24" i="10" s="1"/>
  <c r="G25" i="10"/>
  <c r="I25" i="10" s="1"/>
  <c r="G12" i="10"/>
  <c r="I12" i="10" s="1"/>
  <c r="G23" i="10"/>
  <c r="I23" i="10" s="1"/>
  <c r="G13" i="10"/>
  <c r="I13" i="10" s="1"/>
  <c r="G21" i="10"/>
  <c r="I21" i="10" s="1"/>
</calcChain>
</file>

<file path=xl/sharedStrings.xml><?xml version="1.0" encoding="utf-8"?>
<sst xmlns="http://schemas.openxmlformats.org/spreadsheetml/2006/main" count="5638" uniqueCount="929">
  <si>
    <t>codigo,d</t>
  </si>
  <si>
    <t>EF01LP01</t>
  </si>
  <si>
    <t>EF01LP02</t>
  </si>
  <si>
    <t>EF01LP03</t>
  </si>
  <si>
    <t>EF01LP04</t>
  </si>
  <si>
    <t>EF01LP05</t>
  </si>
  <si>
    <t>EF01LP06</t>
  </si>
  <si>
    <t>EF01LP07</t>
  </si>
  <si>
    <t>EF01LP08</t>
  </si>
  <si>
    <t>EF01LP09</t>
  </si>
  <si>
    <t>EF01LP10</t>
  </si>
  <si>
    <t>EF01LP11</t>
  </si>
  <si>
    <t>EF01LP12</t>
  </si>
  <si>
    <t>EF01MA01</t>
  </si>
  <si>
    <t>EF01MA02</t>
  </si>
  <si>
    <t>EF01MA03</t>
  </si>
  <si>
    <t>EF01MA04</t>
  </si>
  <si>
    <t>EF01MA05</t>
  </si>
  <si>
    <t>EF01MA06</t>
  </si>
  <si>
    <t>EF01MA07</t>
  </si>
  <si>
    <t>EF01MA08</t>
  </si>
  <si>
    <t>EF01MA09</t>
  </si>
  <si>
    <t>EF01MA10</t>
  </si>
  <si>
    <t>EF01MA11</t>
  </si>
  <si>
    <t>EF01CI01</t>
  </si>
  <si>
    <t>EF01CI02</t>
  </si>
  <si>
    <t>EF01CI03</t>
  </si>
  <si>
    <t>EF01CI04</t>
  </si>
  <si>
    <t>EF01CI05</t>
  </si>
  <si>
    <t>EF01CI06</t>
  </si>
  <si>
    <t>EF01CI07</t>
  </si>
  <si>
    <t>EF01CI08</t>
  </si>
  <si>
    <t>EF01HI01</t>
  </si>
  <si>
    <t>EF01HI02</t>
  </si>
  <si>
    <t>EF01HI03</t>
  </si>
  <si>
    <t>EF01HI04</t>
  </si>
  <si>
    <t>EF01HI05</t>
  </si>
  <si>
    <t>EF01GE01</t>
  </si>
  <si>
    <t>EF01GE02</t>
  </si>
  <si>
    <t>EF01GE03</t>
  </si>
  <si>
    <t>EF01GE04</t>
  </si>
  <si>
    <t>EF01GE05</t>
  </si>
  <si>
    <t>EF01GE06</t>
  </si>
  <si>
    <t>EF01AR01</t>
  </si>
  <si>
    <t>EF01AR02</t>
  </si>
  <si>
    <t>EF01AR03</t>
  </si>
  <si>
    <t>EF01AR04</t>
  </si>
  <si>
    <t>EF01EF01</t>
  </si>
  <si>
    <t>EF01EF02</t>
  </si>
  <si>
    <t>EF01EF03</t>
  </si>
  <si>
    <t>EF01EF04</t>
  </si>
  <si>
    <t>Reconhecer que textos são lidos da esquerda para a direita e de cima para baixo.</t>
  </si>
  <si>
    <t>Escrever palavras e frases estabelecendo correspondência entre sons e letras.</t>
  </si>
  <si>
    <t>Identificar o tema de textos de diferentes gêneros.</t>
  </si>
  <si>
    <t>Localizar informações explícitas em textos.</t>
  </si>
  <si>
    <t>Reconhecer o sistema de escrita alfabética como representação dos sons da fala.</t>
  </si>
  <si>
    <t>Relacionar elementos sonoros (sílabas, fonemas) às suas representações gráficas.</t>
  </si>
  <si>
    <t>Identificar personagens, cenários e sequência de fatos em narrativas.</t>
  </si>
  <si>
    <t>Relacionar texto verbal e não verbal.</t>
  </si>
  <si>
    <t>Participar de situações de leitura compartilhada.</t>
  </si>
  <si>
    <t>Produzir textos orais e escritos com apoio.</t>
  </si>
  <si>
    <t>Revisar textos com apoio do professor.</t>
  </si>
  <si>
    <t>Identificar diferentes gêneros textuais do cotidiano.</t>
  </si>
  <si>
    <t>Utilizar números naturais como indicador de quantidade ou de ordem em diferentes situações.</t>
  </si>
  <si>
    <t>Contar de maneira exata ou aproximada, utilizando diferentes estratégias.</t>
  </si>
  <si>
    <t>Comparar e ordenar números naturais.</t>
  </si>
  <si>
    <t>Compor e decompor números naturais.</t>
  </si>
  <si>
    <t>Resolver situações-problema envolvendo adição e subtração.</t>
  </si>
  <si>
    <t>Utilizar estratégias pessoais de cálculo.</t>
  </si>
  <si>
    <t>Identificar padrões em sequências numéricas.</t>
  </si>
  <si>
    <t>Reconhecer e nomear figuras geométricas planas.</t>
  </si>
  <si>
    <t>Descrever localização e movimentação de objetos no espaço.</t>
  </si>
  <si>
    <t>Comparar grandezas como comprimento, massa e capacidade.</t>
  </si>
  <si>
    <t>Reconhecer e utilizar unidades de medida não padronizadas.</t>
  </si>
  <si>
    <t>Identificar características dos materiais presentes no cotidiano.</t>
  </si>
  <si>
    <t>Classificar objetos de acordo com suas propriedades.</t>
  </si>
  <si>
    <t>Reconhecer usos e transformações de materiais.</t>
  </si>
  <si>
    <t>Identificar partes do corpo humano e suas funções.</t>
  </si>
  <si>
    <t>Reconhecer hábitos de higiene e cuidados com o corpo.</t>
  </si>
  <si>
    <t>Identificar características dos seres vivos.</t>
  </si>
  <si>
    <t>Reconhecer diferenças entre seres vivos e não vivos.</t>
  </si>
  <si>
    <t>Identificar relações entre os seres vivos e o ambiente.</t>
  </si>
  <si>
    <t>Identificar aspectos do seu grupo social e da sua história.</t>
  </si>
  <si>
    <t>Reconhecer semelhanças e diferenças entre grupos sociais.</t>
  </si>
  <si>
    <t>Identificar mudanças e permanências ao longo do tempo.</t>
  </si>
  <si>
    <t>Reconhecer diferentes formas de organização familiar.</t>
  </si>
  <si>
    <t>Identificar acontecimentos significativos da vida cotidiana.</t>
  </si>
  <si>
    <t>Descrever características do lugar onde vive.</t>
  </si>
  <si>
    <t>Identificar relações entre pessoas e o ambiente.</t>
  </si>
  <si>
    <t>Reconhecer diferentes tipos de moradia.</t>
  </si>
  <si>
    <t>Identificar elementos naturais e construídos.</t>
  </si>
  <si>
    <t>Reconhecer diferentes paisagens.</t>
  </si>
  <si>
    <t>Identificar formas de orientação no espaço.</t>
  </si>
  <si>
    <t>Experimentar diferentes formas de expressão artística.</t>
  </si>
  <si>
    <t>Explorar materiais e técnicas diversas na produção artística.</t>
  </si>
  <si>
    <t>Reconhecer elementos das artes visuais, música e dança.</t>
  </si>
  <si>
    <t>Expressar ideias e sentimentos por meio da arte.</t>
  </si>
  <si>
    <t>Participar de jogos e brincadeiras respeitando regras.</t>
  </si>
  <si>
    <t>Experimentar movimentos corporais em diferentes contextos.</t>
  </si>
  <si>
    <t>Reconhecer a importância da cooperação nas atividades físicas.</t>
  </si>
  <si>
    <t>Explorar diferentes habilidades motoras básicas.</t>
  </si>
  <si>
    <t>Dsscricao</t>
  </si>
  <si>
    <t>codigo</t>
  </si>
  <si>
    <t>EF</t>
  </si>
  <si>
    <t>MA</t>
  </si>
  <si>
    <t>Matemática</t>
  </si>
  <si>
    <t>EF02LP01</t>
  </si>
  <si>
    <t>EF02LP02</t>
  </si>
  <si>
    <t>EF02LP03</t>
  </si>
  <si>
    <t>EF02LP04</t>
  </si>
  <si>
    <t>EF02LP05</t>
  </si>
  <si>
    <t>EF02LP06</t>
  </si>
  <si>
    <t>EF02LP07</t>
  </si>
  <si>
    <t>EF02LP08</t>
  </si>
  <si>
    <t>EF02LP09</t>
  </si>
  <si>
    <t>EF02LP10</t>
  </si>
  <si>
    <t>EF02LP11</t>
  </si>
  <si>
    <t>EF02LP12</t>
  </si>
  <si>
    <t>EF02MA01</t>
  </si>
  <si>
    <t>EF02MA02</t>
  </si>
  <si>
    <t>EF02MA03</t>
  </si>
  <si>
    <t>EF02MA04</t>
  </si>
  <si>
    <t>EF02MA05</t>
  </si>
  <si>
    <t>EF02MA06</t>
  </si>
  <si>
    <t>EF02MA07</t>
  </si>
  <si>
    <t>EF02MA08</t>
  </si>
  <si>
    <t>EF02MA09</t>
  </si>
  <si>
    <t>EF02MA10</t>
  </si>
  <si>
    <t>EF02MA11</t>
  </si>
  <si>
    <t>EF02CI01</t>
  </si>
  <si>
    <t>EF02CI02</t>
  </si>
  <si>
    <t>EF02CI03</t>
  </si>
  <si>
    <t>EF02CI04</t>
  </si>
  <si>
    <t>EF02CI05</t>
  </si>
  <si>
    <t>EF02CI06</t>
  </si>
  <si>
    <t>EF02HI01</t>
  </si>
  <si>
    <t>EF02HI02</t>
  </si>
  <si>
    <t>EF02HI03</t>
  </si>
  <si>
    <t>EF02HI04</t>
  </si>
  <si>
    <t>EF02HI05</t>
  </si>
  <si>
    <t>EF02GE01</t>
  </si>
  <si>
    <t>EF02GE02</t>
  </si>
  <si>
    <t>EF02GE03</t>
  </si>
  <si>
    <t>EF02GE04</t>
  </si>
  <si>
    <t>EF02GE05</t>
  </si>
  <si>
    <t>EF02GE06</t>
  </si>
  <si>
    <t>EF02AR01</t>
  </si>
  <si>
    <t>EF02AR02</t>
  </si>
  <si>
    <t>EF02AR03</t>
  </si>
  <si>
    <t>EF02AR04</t>
  </si>
  <si>
    <t>EF02EF01</t>
  </si>
  <si>
    <t>EF02EF02</t>
  </si>
  <si>
    <t>EF02EF03</t>
  </si>
  <si>
    <t>EF02EF04</t>
  </si>
  <si>
    <t>Segmentar palavras em sílabas e identificar correspondência entre sons e letras.</t>
  </si>
  <si>
    <t>Ler e compreender palavras e frases em textos curtos.</t>
  </si>
  <si>
    <t>Inferir informações em textos simples.</t>
  </si>
  <si>
    <t>Identificar a finalidade de diferentes gêneros textuais.</t>
  </si>
  <si>
    <t>Reconhecer elementos da narrativa como personagens e sequência de fatos.</t>
  </si>
  <si>
    <t>Produzir textos curtos com coerência.</t>
  </si>
  <si>
    <t>Revisar textos com apoio.</t>
  </si>
  <si>
    <t>Utilizar pontuação básica em textos escritos.</t>
  </si>
  <si>
    <t>Participar de situações de leitura e escrita compartilhadas.</t>
  </si>
  <si>
    <t>Utilizar números naturais até três ordens em diferentes situações.</t>
  </si>
  <si>
    <t>Desenvolver estratégias de cálculo mental.</t>
  </si>
  <si>
    <t>Reconhecer figuras geométricas planas.</t>
  </si>
  <si>
    <t>Descrever localização e movimentação no espaço.</t>
  </si>
  <si>
    <t>Utilizar unidades de medida padronizadas e não padronizadas.</t>
  </si>
  <si>
    <t>Reconhecer e comparar valores monetários.</t>
  </si>
  <si>
    <t>Identificar propriedades dos materiais e suas transformações.</t>
  </si>
  <si>
    <t>Reconhecer a importância da água e do ar para os seres vivos.</t>
  </si>
  <si>
    <t>Identificar partes das plantas e suas funções.</t>
  </si>
  <si>
    <t>Reconhecer características dos animais.</t>
  </si>
  <si>
    <t>Identificar relações entre seres vivos e ambiente.</t>
  </si>
  <si>
    <t>Reconhecer práticas de cuidado com o meio ambiente.</t>
  </si>
  <si>
    <t>Identificar diferentes formas de organização familiar e social.</t>
  </si>
  <si>
    <t>Reconhecer mudanças e permanências ao longo do tempo.</t>
  </si>
  <si>
    <t>Identificar registros da memória como fotos e relatos.</t>
  </si>
  <si>
    <t>Reconhecer diferentes formas de trabalho.</t>
  </si>
  <si>
    <t>Identificar acontecimentos do cotidiano em diferentes tempos.</t>
  </si>
  <si>
    <t>Descrever características de diferentes lugares.</t>
  </si>
  <si>
    <t>Identificar elementos naturais e construídos nas paisagens.</t>
  </si>
  <si>
    <t>Identificar formas de orientação e localização.</t>
  </si>
  <si>
    <t>Reconhecer relações entre sociedade e natureza.</t>
  </si>
  <si>
    <t>Identificar meios de transporte e comunicação.</t>
  </si>
  <si>
    <t>Experimentar diferentes linguagens artísticas.</t>
  </si>
  <si>
    <t>Explorar materiais e técnicas na produção artística.</t>
  </si>
  <si>
    <t>Experimentar movimentos corporais em diferentes práticas.</t>
  </si>
  <si>
    <t>Desenvolver habilidades motoras básicas.</t>
  </si>
  <si>
    <t>Valorizar a cooperação nas atividades físicas.</t>
  </si>
  <si>
    <t>descricao</t>
  </si>
  <si>
    <t>Ler e compreender textos de diferentes gêneros, com autonomia.</t>
  </si>
  <si>
    <t>Inferir informações implícitas em textos.</t>
  </si>
  <si>
    <t>Identificar a ideia central de textos.</t>
  </si>
  <si>
    <t>Reconhecer a função social de diferentes gêneros textuais.</t>
  </si>
  <si>
    <t>Revisar textos com apoio do professor e colegas.</t>
  </si>
  <si>
    <t>Identificar elementos narrativos (personagens, tempo, espaço).</t>
  </si>
  <si>
    <t>Resolver e elaborar problemas de adição e subtração.</t>
  </si>
  <si>
    <t>Resolver problemas de multiplicação.</t>
  </si>
  <si>
    <t>Resolver problemas de divisão simples.</t>
  </si>
  <si>
    <t>Identificar regularidades em sequências numéricas.</t>
  </si>
  <si>
    <t>Reconhecer e comparar figuras geométricas planas.</t>
  </si>
  <si>
    <t>Identificar simetria em figuras.</t>
  </si>
  <si>
    <t>Resolver problemas envolvendo medidas de tempo.</t>
  </si>
  <si>
    <t>Coletar e organizar dados em tabelas e gráficos simples.</t>
  </si>
  <si>
    <t>Interpretar dados apresentados em gráficos e tabelas.</t>
  </si>
  <si>
    <t>Comparar animais quanto à alimentação e habitat.</t>
  </si>
  <si>
    <t>Reconhecer partes das plantas e suas funções.</t>
  </si>
  <si>
    <t>Identificar formas de uso da água no cotidiano.</t>
  </si>
  <si>
    <t>Reconhecer a importância da preservação ambiental.</t>
  </si>
  <si>
    <t>Identificar diferentes estados físicos da matéria.</t>
  </si>
  <si>
    <t>Reconhecer fontes de energia no cotidiano.</t>
  </si>
  <si>
    <t>Reconhecer diferentes grupos sociais na comunidade.</t>
  </si>
  <si>
    <t>Identificar tradições culturais locais.</t>
  </si>
  <si>
    <t>Compreender noções de passado, presente e futuro.</t>
  </si>
  <si>
    <t>Valorizar a diversidade cultural.</t>
  </si>
  <si>
    <t>Identificar características do lugar onde vive.</t>
  </si>
  <si>
    <t>Reconhecer diferentes paisagens naturais e modificadas.</t>
  </si>
  <si>
    <t>Identificar formas de representação do espaço (mapas simples).</t>
  </si>
  <si>
    <t>Reconhecer atividades econômicas locais.</t>
  </si>
  <si>
    <t>Identificar elementos naturais e culturais do espaço.</t>
  </si>
  <si>
    <t>Reconhecer elementos das artes visuais.</t>
  </si>
  <si>
    <t>Explorar sons e ritmos.</t>
  </si>
  <si>
    <t>Participar de atividades de dança e expressão corporal.</t>
  </si>
  <si>
    <t>Participar de jogos e brincadeiras.</t>
  </si>
  <si>
    <t>Respeitar regras em atividades coletivas.</t>
  </si>
  <si>
    <t>Valorizar o trabalho em equipe.</t>
  </si>
  <si>
    <t>EF03LP01</t>
  </si>
  <si>
    <t>EF03LP02</t>
  </si>
  <si>
    <t>EF03LP03</t>
  </si>
  <si>
    <t>EF03LP04</t>
  </si>
  <si>
    <t>EF03LP05</t>
  </si>
  <si>
    <t>EF03LP06</t>
  </si>
  <si>
    <t>EF03LP07</t>
  </si>
  <si>
    <t>EF03LP08</t>
  </si>
  <si>
    <t>EF03LP09</t>
  </si>
  <si>
    <t>EF03LP10</t>
  </si>
  <si>
    <t>EF03LP11</t>
  </si>
  <si>
    <t>EF03LP12</t>
  </si>
  <si>
    <t>EF03MA01</t>
  </si>
  <si>
    <t>EF03MA02</t>
  </si>
  <si>
    <t>EF03MA03</t>
  </si>
  <si>
    <t>EF03MA04</t>
  </si>
  <si>
    <t>EF03MA05</t>
  </si>
  <si>
    <t>EF03MA06</t>
  </si>
  <si>
    <t>EF03MA07</t>
  </si>
  <si>
    <t>EF03MA08</t>
  </si>
  <si>
    <t>EF03MA09</t>
  </si>
  <si>
    <t>EF03MA10</t>
  </si>
  <si>
    <t>EF03MA11</t>
  </si>
  <si>
    <t>EF03MA12</t>
  </si>
  <si>
    <t>EF03CI01</t>
  </si>
  <si>
    <t>EF03CI02</t>
  </si>
  <si>
    <t>EF03CI03</t>
  </si>
  <si>
    <t>EF03CI04</t>
  </si>
  <si>
    <t>EF03CI05</t>
  </si>
  <si>
    <t>EF03CI06</t>
  </si>
  <si>
    <t>EF03CI07</t>
  </si>
  <si>
    <t>EF03HI01</t>
  </si>
  <si>
    <t>EF03HI02</t>
  </si>
  <si>
    <t>EF03HI03</t>
  </si>
  <si>
    <t>EF03HI04</t>
  </si>
  <si>
    <t>EF03HI05</t>
  </si>
  <si>
    <t>EF03GE01</t>
  </si>
  <si>
    <t>EF03GE02</t>
  </si>
  <si>
    <t>EF03GE03</t>
  </si>
  <si>
    <t>EF03GE04</t>
  </si>
  <si>
    <t>EF03GE05</t>
  </si>
  <si>
    <t>EF03AR01</t>
  </si>
  <si>
    <t>EF03AR02</t>
  </si>
  <si>
    <t>EF03AR03</t>
  </si>
  <si>
    <t>EF03AR04</t>
  </si>
  <si>
    <t>EF03EF01</t>
  </si>
  <si>
    <t>EF03EF02</t>
  </si>
  <si>
    <t>EF03EF03</t>
  </si>
  <si>
    <t>EF03EF04</t>
  </si>
  <si>
    <t>Ler e escrever palavras com correspondências regulares entre grafemas e fonemas.</t>
  </si>
  <si>
    <t>Ler e escrever palavras com correspondências irregulares mais frequentes na língua.</t>
  </si>
  <si>
    <t>Planejar e produzir textos de diferentes gêneros, considerando a situação comunicativa.</t>
  </si>
  <si>
    <t>Utilizar pontuação básica (ponto final, interrogação e exclamação).</t>
  </si>
  <si>
    <t>Reconhecer e utilizar letras maiúsculas e minúsculas corretamente.</t>
  </si>
  <si>
    <t>Recontar histórias ouvidas ou lidas, mantendo a sequência lógica.</t>
  </si>
  <si>
    <t>Ler, escrever e comparar números naturais até a ordem de milhar.</t>
  </si>
  <si>
    <t>Medir comprimentos utilizando unidades padronizadas e não padronizadas.</t>
  </si>
  <si>
    <t>EF04LP01</t>
  </si>
  <si>
    <t>EF04LP02</t>
  </si>
  <si>
    <t>EF04LP03</t>
  </si>
  <si>
    <t>EF04LP04</t>
  </si>
  <si>
    <t>EF04LP05</t>
  </si>
  <si>
    <t>EF04LP06</t>
  </si>
  <si>
    <t>EF04LP07</t>
  </si>
  <si>
    <t>EF04LP08</t>
  </si>
  <si>
    <t>EF04LP09</t>
  </si>
  <si>
    <t>EF04LP10</t>
  </si>
  <si>
    <t>EF04LP11</t>
  </si>
  <si>
    <t>EF04LP12</t>
  </si>
  <si>
    <t>EF04MA01</t>
  </si>
  <si>
    <t>EF04MA02</t>
  </si>
  <si>
    <t>EF04MA03</t>
  </si>
  <si>
    <t>EF04MA04</t>
  </si>
  <si>
    <t>EF04MA05</t>
  </si>
  <si>
    <t>EF04MA06</t>
  </si>
  <si>
    <t>EF04MA07</t>
  </si>
  <si>
    <t>EF04MA08</t>
  </si>
  <si>
    <t>EF04MA09</t>
  </si>
  <si>
    <t>EF04MA10</t>
  </si>
  <si>
    <t>EF04MA11</t>
  </si>
  <si>
    <t>EF04MA12</t>
  </si>
  <si>
    <t>EF04CI01</t>
  </si>
  <si>
    <t>EF04CI02</t>
  </si>
  <si>
    <t>EF04CI03</t>
  </si>
  <si>
    <t>EF04CI04</t>
  </si>
  <si>
    <t>EF04CI05</t>
  </si>
  <si>
    <t>EF04CI06</t>
  </si>
  <si>
    <t>EF04CI07</t>
  </si>
  <si>
    <t>EF04HI01</t>
  </si>
  <si>
    <t>EF04HI02</t>
  </si>
  <si>
    <t>EF04HI03</t>
  </si>
  <si>
    <t>EF04HI04</t>
  </si>
  <si>
    <t>EF04HI05</t>
  </si>
  <si>
    <t>EF04GE01</t>
  </si>
  <si>
    <t>EF04GE02</t>
  </si>
  <si>
    <t>EF04GE03</t>
  </si>
  <si>
    <t>EF04GE04</t>
  </si>
  <si>
    <t>EF04GE05</t>
  </si>
  <si>
    <t>EF04AR01</t>
  </si>
  <si>
    <t>EF04AR02</t>
  </si>
  <si>
    <t>EF04AR03</t>
  </si>
  <si>
    <t>EF04AR04</t>
  </si>
  <si>
    <t>EF04EF01</t>
  </si>
  <si>
    <t>EF04EF02</t>
  </si>
  <si>
    <t>EF04EF03</t>
  </si>
  <si>
    <t>EF04EF04</t>
  </si>
  <si>
    <t>Ler e compreender textos de diferentes gêneros com maior autonomia.</t>
  </si>
  <si>
    <t>Reconhecer a finalidade de diferentes gêneros textuais.</t>
  </si>
  <si>
    <t>Planejar e produzir textos considerando a situação comunicativa.</t>
  </si>
  <si>
    <t>Revisar textos quanto à ortografia e pontuação.</t>
  </si>
  <si>
    <t>Utilizar pontuação em diálogos (travessão).</t>
  </si>
  <si>
    <t>Empregar corretamente letras maiúsculas e minúsculas.</t>
  </si>
  <si>
    <t>Identificar elementos narrativos (enredo, personagens, tempo e espaço).</t>
  </si>
  <si>
    <t>Recontar e resumir textos lidos.</t>
  </si>
  <si>
    <t>Reconhecer diferentes tipos de discurso (direto e indireto).</t>
  </si>
  <si>
    <t>Ler, escrever e comparar números naturais até a ordem de dezena de milhar.</t>
  </si>
  <si>
    <t>Resolver problemas de divisão.</t>
  </si>
  <si>
    <t>Identificar e completar sequências numéricas.</t>
  </si>
  <si>
    <t>Reconhecer frações simples.</t>
  </si>
  <si>
    <t>Comparar frações com mesmo denominador.</t>
  </si>
  <si>
    <t>Identificar figuras geométricas planas.</t>
  </si>
  <si>
    <t>Calcular perímetro de figuras.</t>
  </si>
  <si>
    <t>Medir grandezas (comprimento, massa e capacidade).</t>
  </si>
  <si>
    <t>Interpretar e construir gráficos e tabelas.</t>
  </si>
  <si>
    <t>Identificar características dos ecossistemas.</t>
  </si>
  <si>
    <t>Reconhecer relações entre seres vivos.</t>
  </si>
  <si>
    <t>Identificar cadeias alimentares simples.</t>
  </si>
  <si>
    <t>Compreender o ciclo da água.</t>
  </si>
  <si>
    <t>Identificar formas de poluição ambiental.</t>
  </si>
  <si>
    <t>Identificar transformações da matéria.</t>
  </si>
  <si>
    <t>Reconhecer diferentes formas de organização social.</t>
  </si>
  <si>
    <t>Reconhecer a importância da cultura e tradições.</t>
  </si>
  <si>
    <t>Identificar fatos históricos locais e regionais.</t>
  </si>
  <si>
    <t>Identificar características do espaço geográfico.</t>
  </si>
  <si>
    <t>Reconhecer paisagens naturais e modificadas.</t>
  </si>
  <si>
    <t>Interpretar mapas simples.</t>
  </si>
  <si>
    <t>Identificar atividades econômicas.</t>
  </si>
  <si>
    <t>Reconhecer impactos ambientais das ações humanas.</t>
  </si>
  <si>
    <t>Explorar ritmos e sons.</t>
  </si>
  <si>
    <t>Expressar-se por meio da dança e do corpo.</t>
  </si>
  <si>
    <t>Desenvolver habilidades motoras.</t>
  </si>
  <si>
    <t>Respeitar regras e colegas.</t>
  </si>
  <si>
    <t>EF05LP01</t>
  </si>
  <si>
    <t>EF05LP02</t>
  </si>
  <si>
    <t>EF05LP03</t>
  </si>
  <si>
    <t>EF05LP04</t>
  </si>
  <si>
    <t>EF05LP05</t>
  </si>
  <si>
    <t>EF05LP06</t>
  </si>
  <si>
    <t>EF05LP07</t>
  </si>
  <si>
    <t>EF05LP08</t>
  </si>
  <si>
    <t>EF05LP09</t>
  </si>
  <si>
    <t>EF05LP10</t>
  </si>
  <si>
    <t>EF05LP11</t>
  </si>
  <si>
    <t>EF05LP12</t>
  </si>
  <si>
    <t>EF05MA01</t>
  </si>
  <si>
    <t>EF05MA02</t>
  </si>
  <si>
    <t>EF05MA03</t>
  </si>
  <si>
    <t>EF05MA04</t>
  </si>
  <si>
    <t>EF05MA05</t>
  </si>
  <si>
    <t>EF05MA06</t>
  </si>
  <si>
    <t>EF05MA07</t>
  </si>
  <si>
    <t>EF05MA08</t>
  </si>
  <si>
    <t>EF05MA09</t>
  </si>
  <si>
    <t>EF05MA10</t>
  </si>
  <si>
    <t>EF05MA11</t>
  </si>
  <si>
    <t>EF05MA12</t>
  </si>
  <si>
    <t>EF05CI01</t>
  </si>
  <si>
    <t>EF05CI02</t>
  </si>
  <si>
    <t>EF05CI03</t>
  </si>
  <si>
    <t>EF05CI04</t>
  </si>
  <si>
    <t>EF05CI05</t>
  </si>
  <si>
    <t>EF05CI06</t>
  </si>
  <si>
    <t>EF05CI07</t>
  </si>
  <si>
    <t>EF05HI01</t>
  </si>
  <si>
    <t>EF05HI02</t>
  </si>
  <si>
    <t>EF05HI03</t>
  </si>
  <si>
    <t>EF05HI04</t>
  </si>
  <si>
    <t>EF05HI05</t>
  </si>
  <si>
    <t>EF05GE01</t>
  </si>
  <si>
    <t>EF05GE02</t>
  </si>
  <si>
    <t>EF05GE03</t>
  </si>
  <si>
    <t>EF05GE04</t>
  </si>
  <si>
    <t>EF05GE05</t>
  </si>
  <si>
    <t>EF05AR01</t>
  </si>
  <si>
    <t>EF05AR02</t>
  </si>
  <si>
    <t>EF05AR03</t>
  </si>
  <si>
    <t>EF05AR04</t>
  </si>
  <si>
    <t>EF05EF01</t>
  </si>
  <si>
    <t>EF05EF02</t>
  </si>
  <si>
    <t>EF05EF03</t>
  </si>
  <si>
    <t>EF05EF04</t>
  </si>
  <si>
    <t>Ler e compreender textos de diferentes gêneros com autonomia.</t>
  </si>
  <si>
    <t>Localizar e comparar informações em textos.</t>
  </si>
  <si>
    <t>Identificar a ideia central e os temas de textos.</t>
  </si>
  <si>
    <t>Planejar e produzir textos considerando o contexto comunicativo.</t>
  </si>
  <si>
    <t>Revisar textos quanto à ortografia, pontuação e coerência.</t>
  </si>
  <si>
    <t>Utilizar corretamente pontuação em diálogos e narrativas.</t>
  </si>
  <si>
    <t>Empregar normas ortográficas da língua portuguesa.</t>
  </si>
  <si>
    <t>Identificar e analisar elementos narrativos.</t>
  </si>
  <si>
    <t>Resumir e recontar textos mantendo coerência.</t>
  </si>
  <si>
    <t>Reconhecer diferentes vozes no texto (narrador e personagens).</t>
  </si>
  <si>
    <t>Ler, escrever e comparar números naturais até a ordem de centena de milhar.</t>
  </si>
  <si>
    <t>Resolver problemas de multiplicação e divisão.</t>
  </si>
  <si>
    <t>Reconhecer e comparar frações.</t>
  </si>
  <si>
    <t>Relacionar frações e números decimais.</t>
  </si>
  <si>
    <t>Resolver problemas com números decimais.</t>
  </si>
  <si>
    <t>Identificar figuras geométricas planas e espaciais.</t>
  </si>
  <si>
    <t>Calcular perímetro e área de figuras simples.</t>
  </si>
  <si>
    <t>Medir grandezas e resolver problemas envolvendo medidas.</t>
  </si>
  <si>
    <t>Resolver problemas envolvendo dados e informações.</t>
  </si>
  <si>
    <t>Compreender a organização dos ecossistemas.</t>
  </si>
  <si>
    <t>Identificar cadeias e teias alimentares.</t>
  </si>
  <si>
    <t>Reconhecer a importância da água e seu ciclo.</t>
  </si>
  <si>
    <t>Identificar fontes e tipos de energia.</t>
  </si>
  <si>
    <t>Compreender transformações da matéria.</t>
  </si>
  <si>
    <t>Reconhecer impactos ambientais causados pelo ser humano.</t>
  </si>
  <si>
    <t>Propor ações de preservação ambiental.</t>
  </si>
  <si>
    <t>Reconhecer processos históricos locais e regionais.</t>
  </si>
  <si>
    <t>Compreender a formação da sociedade brasileira.</t>
  </si>
  <si>
    <t>Reconhecer a diversidade cultural.</t>
  </si>
  <si>
    <t>Valorizar patrimônios históricos e culturais.</t>
  </si>
  <si>
    <t>Identificar características do território brasileiro.</t>
  </si>
  <si>
    <t>Reconhecer diferentes paisagens do Brasil.</t>
  </si>
  <si>
    <t>Interpretar mapas e representações cartográficas.</t>
  </si>
  <si>
    <t>Identificar atividades econômicas no Brasil.</t>
  </si>
  <si>
    <t>Compreender impactos ambientais no território.</t>
  </si>
  <si>
    <t>Reconhecer elementos das artes visuais e musicais.</t>
  </si>
  <si>
    <t>Explorar diferentes formas de expressão artística.</t>
  </si>
  <si>
    <t>Valorizar produções artísticas diversas.</t>
  </si>
  <si>
    <t>Participar de jogos e práticas corporais.</t>
  </si>
  <si>
    <t>Respeitar regras e convivência em grupo.</t>
  </si>
  <si>
    <t>Valorizar a cooperação e o trabalho em equipe.</t>
  </si>
  <si>
    <t>EF06LP01</t>
  </si>
  <si>
    <t>EF06LP02</t>
  </si>
  <si>
    <t>EF06LP03</t>
  </si>
  <si>
    <t>EF06LP04</t>
  </si>
  <si>
    <t>EF06LP05</t>
  </si>
  <si>
    <t>EF06LP06</t>
  </si>
  <si>
    <t>EF06LP07</t>
  </si>
  <si>
    <t>EF06LP08</t>
  </si>
  <si>
    <t>EF06LP09</t>
  </si>
  <si>
    <t>EF06LP10</t>
  </si>
  <si>
    <t>EF06LP11</t>
  </si>
  <si>
    <t>EF06LP12</t>
  </si>
  <si>
    <t>EF06MA01</t>
  </si>
  <si>
    <t>EF06MA02</t>
  </si>
  <si>
    <t>EF06MA03</t>
  </si>
  <si>
    <t>EF06MA04</t>
  </si>
  <si>
    <t>EF06MA05</t>
  </si>
  <si>
    <t>EF06MA06</t>
  </si>
  <si>
    <t>EF06MA07</t>
  </si>
  <si>
    <t>EF06MA08</t>
  </si>
  <si>
    <t>EF06MA09</t>
  </si>
  <si>
    <t>EF06MA10</t>
  </si>
  <si>
    <t>EF06MA11</t>
  </si>
  <si>
    <t>EF06MA12</t>
  </si>
  <si>
    <t>EF06CI01</t>
  </si>
  <si>
    <t>EF06CI02</t>
  </si>
  <si>
    <t>EF06CI03</t>
  </si>
  <si>
    <t>EF06CI04</t>
  </si>
  <si>
    <t>EF06CI05</t>
  </si>
  <si>
    <t>EF06CI06</t>
  </si>
  <si>
    <t>EF06CI07</t>
  </si>
  <si>
    <t>EF06CI08</t>
  </si>
  <si>
    <t>EF06HI01</t>
  </si>
  <si>
    <t>EF06HI02</t>
  </si>
  <si>
    <t>EF06HI03</t>
  </si>
  <si>
    <t>EF06HI04</t>
  </si>
  <si>
    <t>EF06HI05</t>
  </si>
  <si>
    <t>EF06GE01</t>
  </si>
  <si>
    <t>EF06GE02</t>
  </si>
  <si>
    <t>EF06GE03</t>
  </si>
  <si>
    <t>EF06GE04</t>
  </si>
  <si>
    <t>EF06GE05</t>
  </si>
  <si>
    <t>EF06AR01</t>
  </si>
  <si>
    <t>EF06AR02</t>
  </si>
  <si>
    <t>EF06AR03</t>
  </si>
  <si>
    <t>EF06AR04</t>
  </si>
  <si>
    <t>EF06EF01</t>
  </si>
  <si>
    <t>EF06EF02</t>
  </si>
  <si>
    <t>EF06EF03</t>
  </si>
  <si>
    <t>EF06EF04</t>
  </si>
  <si>
    <t>Identificar o tema e a ideia central em textos de diferentes gêneros.</t>
  </si>
  <si>
    <t>Reconhecer a finalidade de textos de diferentes gêneros.</t>
  </si>
  <si>
    <t>Analisar elementos da narrativa (personagens, tempo, espaço, enredo).</t>
  </si>
  <si>
    <t>Comparar diferentes textos sobre o mesmo tema.</t>
  </si>
  <si>
    <t>Revisar textos quanto à coerência, coesão e adequação linguística.</t>
  </si>
  <si>
    <t>Utilizar corretamente pontuação e ortografia.</t>
  </si>
  <si>
    <t>Reconhecer efeitos de sentido produzidos por recursos linguísticos.</t>
  </si>
  <si>
    <t>Identificar diferentes vozes no texto.</t>
  </si>
  <si>
    <t>Participar de práticas de leitura e produção oral.</t>
  </si>
  <si>
    <t>Resolver e elaborar problemas com números naturais.</t>
  </si>
  <si>
    <t>Compreender e utilizar operações com números naturais.</t>
  </si>
  <si>
    <t>Resolver problemas envolvendo múltiplos e divisores.</t>
  </si>
  <si>
    <t>Compreender frações e suas representações.</t>
  </si>
  <si>
    <t>Resolver problemas com números racionais.</t>
  </si>
  <si>
    <t>Identificar e representar números em diferentes formas.</t>
  </si>
  <si>
    <t>Reconhecer e classificar figuras geométricas.</t>
  </si>
  <si>
    <t>Calcular perímetro e área de figuras planas.</t>
  </si>
  <si>
    <t>Resolver problemas envolvendo medidas.</t>
  </si>
  <si>
    <t>Identificar padrões e regularidades.</t>
  </si>
  <si>
    <t>Resolver problemas envolvendo proporcionalidade simples.</t>
  </si>
  <si>
    <t>Identificar níveis de organização dos seres vivos.</t>
  </si>
  <si>
    <t>Compreender a célula como unidade da vida.</t>
  </si>
  <si>
    <t>Reconhecer características dos seres vivos.</t>
  </si>
  <si>
    <t>Identificar relações ecológicas.</t>
  </si>
  <si>
    <t>Compreender cadeias alimentares.</t>
  </si>
  <si>
    <t>Identificar componentes do sistema solar.</t>
  </si>
  <si>
    <t>Reconhecer movimentos da Terra.</t>
  </si>
  <si>
    <t>Compreender fenômenos naturais.</t>
  </si>
  <si>
    <t>Compreender a noção de tempo histórico.</t>
  </si>
  <si>
    <t>Identificar fontes históricas.</t>
  </si>
  <si>
    <t>Reconhecer a importância das civilizações antigas.</t>
  </si>
  <si>
    <t>Comparar diferentes sociedades antigas.</t>
  </si>
  <si>
    <t>Identificar aspectos culturais e sociais das civilizações.</t>
  </si>
  <si>
    <t>Identificar elementos do espaço geográfico.</t>
  </si>
  <si>
    <t>Compreender a relação sociedade-natureza.</t>
  </si>
  <si>
    <t>Analisar elementos das artes visuais.</t>
  </si>
  <si>
    <t>Expressar-se corporalmente.</t>
  </si>
  <si>
    <t>Participar de práticas corporais.</t>
  </si>
  <si>
    <t>Disciplina</t>
  </si>
  <si>
    <t>Descrição</t>
  </si>
  <si>
    <t>Código</t>
  </si>
  <si>
    <t>Ensino Fundamental</t>
  </si>
  <si>
    <t>1º ano</t>
  </si>
  <si>
    <t>LP</t>
  </si>
  <si>
    <t>Língua Portuguesa</t>
  </si>
  <si>
    <t>CI</t>
  </si>
  <si>
    <t>Ciências</t>
  </si>
  <si>
    <t>HI</t>
  </si>
  <si>
    <t>História</t>
  </si>
  <si>
    <t>GE</t>
  </si>
  <si>
    <t>Geografia</t>
  </si>
  <si>
    <t>AR</t>
  </si>
  <si>
    <t>Arte</t>
  </si>
  <si>
    <t>Educação Física</t>
  </si>
  <si>
    <t>EF07LP01</t>
  </si>
  <si>
    <t>EF07LP02</t>
  </si>
  <si>
    <t>EF07LP03</t>
  </si>
  <si>
    <t>EF07LP04</t>
  </si>
  <si>
    <t>EF07LP05</t>
  </si>
  <si>
    <t>EF07LP06</t>
  </si>
  <si>
    <t>EF07LP07</t>
  </si>
  <si>
    <t>EF07LP08</t>
  </si>
  <si>
    <t>EF07LP09</t>
  </si>
  <si>
    <t>EF07LP10</t>
  </si>
  <si>
    <t>EF07LP11</t>
  </si>
  <si>
    <t>EF07LP12</t>
  </si>
  <si>
    <t>EF07MA01</t>
  </si>
  <si>
    <t>EF07MA02</t>
  </si>
  <si>
    <t>EF07MA03</t>
  </si>
  <si>
    <t>EF07MA04</t>
  </si>
  <si>
    <t>EF07MA05</t>
  </si>
  <si>
    <t>EF07MA06</t>
  </si>
  <si>
    <t>EF07MA07</t>
  </si>
  <si>
    <t>EF07MA08</t>
  </si>
  <si>
    <t>EF07MA09</t>
  </si>
  <si>
    <t>EF07MA10</t>
  </si>
  <si>
    <t>EF07MA11</t>
  </si>
  <si>
    <t>EF07MA12</t>
  </si>
  <si>
    <t>EF07CI01</t>
  </si>
  <si>
    <t>EF07CI02</t>
  </si>
  <si>
    <t>EF07CI03</t>
  </si>
  <si>
    <t>EF07CI04</t>
  </si>
  <si>
    <t>EF07CI05</t>
  </si>
  <si>
    <t>EF07CI06</t>
  </si>
  <si>
    <t>EF07CI07</t>
  </si>
  <si>
    <t>EF07HI01</t>
  </si>
  <si>
    <t>EF07HI02</t>
  </si>
  <si>
    <t>EF07HI03</t>
  </si>
  <si>
    <t>EF07HI04</t>
  </si>
  <si>
    <t>EF07HI05</t>
  </si>
  <si>
    <t>EF07GE01</t>
  </si>
  <si>
    <t>EF07GE02</t>
  </si>
  <si>
    <t>EF07GE03</t>
  </si>
  <si>
    <t>EF07GE04</t>
  </si>
  <si>
    <t>EF07GE05</t>
  </si>
  <si>
    <t>EF07AR01</t>
  </si>
  <si>
    <t>EF07AR02</t>
  </si>
  <si>
    <t>EF07AR03</t>
  </si>
  <si>
    <t>EF07AR04</t>
  </si>
  <si>
    <t>EF07EF01</t>
  </si>
  <si>
    <t>EF07EF02</t>
  </si>
  <si>
    <t>EF07EF03</t>
  </si>
  <si>
    <t>EF07EF04</t>
  </si>
  <si>
    <t>Identificar tema e tese em textos de diferentes gêneros.</t>
  </si>
  <si>
    <t>Analisar a finalidade e o público-alvo de textos.</t>
  </si>
  <si>
    <t>Analisar elementos da narrativa e seus efeitos de sentido.</t>
  </si>
  <si>
    <t>Comparar diferentes pontos de vista em textos.</t>
  </si>
  <si>
    <t>Planejar e produzir textos argumentativos e narrativos.</t>
  </si>
  <si>
    <t>Revisar textos quanto à coerência, coesão e adequação.</t>
  </si>
  <si>
    <t>Utilizar recursos linguísticos e gramaticais adequados.</t>
  </si>
  <si>
    <t>Reconhecer efeitos de sentido em figuras de linguagem.</t>
  </si>
  <si>
    <t>Identificar vozes e discursos em textos.</t>
  </si>
  <si>
    <t>Participar de práticas de leitura, escrita e oralidade.</t>
  </si>
  <si>
    <t>Resolver e elaborar problemas com números inteiros.</t>
  </si>
  <si>
    <t>Compreender operações com números inteiros.</t>
  </si>
  <si>
    <t>Compreender porcentagens e suas aplicações.</t>
  </si>
  <si>
    <t>Resolver problemas envolvendo razão e proporção.</t>
  </si>
  <si>
    <t>Identificar expressões algébricas.</t>
  </si>
  <si>
    <t>Resolver equações do 1º grau.</t>
  </si>
  <si>
    <t>Reconhecer e representar figuras geométricas.</t>
  </si>
  <si>
    <t>Calcular área e perímetro de figuras planas.</t>
  </si>
  <si>
    <t>Compreender a organização dos seres vivos.</t>
  </si>
  <si>
    <t>Analisar cadeias e teias alimentares.</t>
  </si>
  <si>
    <t>Compreender a dinâmica da Terra.</t>
  </si>
  <si>
    <t>Identificar fenômenos naturais.</t>
  </si>
  <si>
    <t>Reconhecer transformações da matéria.</t>
  </si>
  <si>
    <t>Compreender fontes e tipos de energia.</t>
  </si>
  <si>
    <t>Compreender processos históricos e sociais.</t>
  </si>
  <si>
    <t>Identificar transformações ao longo do tempo.</t>
  </si>
  <si>
    <t>Reconhecer a formação de sociedades.</t>
  </si>
  <si>
    <t>Analisar diferentes culturas.</t>
  </si>
  <si>
    <t>Analisar paisagens naturais e modificadas.</t>
  </si>
  <si>
    <t>Interpretar mapas e gráficos.</t>
  </si>
  <si>
    <t>Explorar sons, ritmos e composições.</t>
  </si>
  <si>
    <t>Respeitar regras e convivência.</t>
  </si>
  <si>
    <t>EF08LP01</t>
  </si>
  <si>
    <t>EF08LP02</t>
  </si>
  <si>
    <t>EF08LP03</t>
  </si>
  <si>
    <t>EF08LP04</t>
  </si>
  <si>
    <t>EF08LP05</t>
  </si>
  <si>
    <t>EF08LP06</t>
  </si>
  <si>
    <t>EF08LP07</t>
  </si>
  <si>
    <t>EF08LP08</t>
  </si>
  <si>
    <t>EF08LP09</t>
  </si>
  <si>
    <t>EF08LP10</t>
  </si>
  <si>
    <t>EF08LP11</t>
  </si>
  <si>
    <t>EF08LP12</t>
  </si>
  <si>
    <t>EF08MA01</t>
  </si>
  <si>
    <t>EF08MA02</t>
  </si>
  <si>
    <t>EF08MA03</t>
  </si>
  <si>
    <t>EF08MA04</t>
  </si>
  <si>
    <t>EF08MA05</t>
  </si>
  <si>
    <t>EF08MA06</t>
  </si>
  <si>
    <t>EF08MA07</t>
  </si>
  <si>
    <t>EF08MA08</t>
  </si>
  <si>
    <t>EF08MA09</t>
  </si>
  <si>
    <t>EF08MA10</t>
  </si>
  <si>
    <t>EF08MA11</t>
  </si>
  <si>
    <t>EF08MA12</t>
  </si>
  <si>
    <t>EF08CI01</t>
  </si>
  <si>
    <t>EF08CI02</t>
  </si>
  <si>
    <t>EF08CI03</t>
  </si>
  <si>
    <t>EF08CI04</t>
  </si>
  <si>
    <t>EF08CI05</t>
  </si>
  <si>
    <t>EF08CI06</t>
  </si>
  <si>
    <t>EF08CI07</t>
  </si>
  <si>
    <t>EF08HI01</t>
  </si>
  <si>
    <t>EF08HI02</t>
  </si>
  <si>
    <t>EF08HI03</t>
  </si>
  <si>
    <t>EF08HI04</t>
  </si>
  <si>
    <t>EF08HI05</t>
  </si>
  <si>
    <t>EF08GE01</t>
  </si>
  <si>
    <t>EF08GE02</t>
  </si>
  <si>
    <t>EF08GE03</t>
  </si>
  <si>
    <t>EF08GE04</t>
  </si>
  <si>
    <t>EF08GE05</t>
  </si>
  <si>
    <t>EF08AR01</t>
  </si>
  <si>
    <t>EF08AR02</t>
  </si>
  <si>
    <t>EF08AR03</t>
  </si>
  <si>
    <t>EF08AR04</t>
  </si>
  <si>
    <t>EF08EF01</t>
  </si>
  <si>
    <t>EF08EF02</t>
  </si>
  <si>
    <t>EF08EF03</t>
  </si>
  <si>
    <t>EF08EF04</t>
  </si>
  <si>
    <t>Identificar e analisar tema, tese e argumentos em textos.</t>
  </si>
  <si>
    <t>Localizar e comparar informações em textos de diferentes fontes.</t>
  </si>
  <si>
    <t>Inferir informações implícitas e pressupostos em textos.</t>
  </si>
  <si>
    <t>Avaliar a consistência de argumentos em textos.</t>
  </si>
  <si>
    <t>Comparar diferentes pontos de vista sobre um tema.</t>
  </si>
  <si>
    <t>Planejar e produzir textos argumentativos.</t>
  </si>
  <si>
    <t>Utilizar recursos linguísticos e gramaticais de forma adequada.</t>
  </si>
  <si>
    <t>Analisar efeitos de sentido em figuras de linguagem.</t>
  </si>
  <si>
    <t>Resolver e elaborar problemas com números racionais.</t>
  </si>
  <si>
    <t>Compreender operações com números racionais.</t>
  </si>
  <si>
    <t>Resolver problemas envolvendo porcentagens.</t>
  </si>
  <si>
    <t>Compreender expressões algébricas.</t>
  </si>
  <si>
    <t>Resolver sistemas de equações simples.</t>
  </si>
  <si>
    <t>Analisar relações ecológicas.</t>
  </si>
  <si>
    <t>Compreender cadeias e teias alimentares.</t>
  </si>
  <si>
    <t>Identificar transformações químicas e físicas.</t>
  </si>
  <si>
    <t>Compreender fontes e formas de energia.</t>
  </si>
  <si>
    <t>Analisar impactos ambientais.</t>
  </si>
  <si>
    <t>Analisar processos históricos.</t>
  </si>
  <si>
    <t>Identificar transformações sociais e culturais.</t>
  </si>
  <si>
    <t>Compreender a formação de sociedades modernas.</t>
  </si>
  <si>
    <t>Analisar elementos do espaço geográfico.</t>
  </si>
  <si>
    <t>Compreender dinâmicas ambientais.</t>
  </si>
  <si>
    <t>Interpretar mapas, gráficos e tabelas.</t>
  </si>
  <si>
    <t>Analisar a relação sociedade-natureza.</t>
  </si>
  <si>
    <t>EF09LP01</t>
  </si>
  <si>
    <t>EF09LP02</t>
  </si>
  <si>
    <t>Comparar informações e pontos de vista em diferentes textos.</t>
  </si>
  <si>
    <t>EF09LP03</t>
  </si>
  <si>
    <t>Inferir informações implícitas e avaliar pressupostos.</t>
  </si>
  <si>
    <t>EF09LP04</t>
  </si>
  <si>
    <t>EF09LP05</t>
  </si>
  <si>
    <t>Avaliar a consistência e a validade de argumentos.</t>
  </si>
  <si>
    <t>EF09LP06</t>
  </si>
  <si>
    <t>Analisar estratégias argumentativas.</t>
  </si>
  <si>
    <t>EF09LP07</t>
  </si>
  <si>
    <t>Produzir textos argumentativos com coerência e coesão.</t>
  </si>
  <si>
    <t>EF09LP08</t>
  </si>
  <si>
    <t>Revisar textos quanto à adequação linguística.</t>
  </si>
  <si>
    <t>EF09LP09</t>
  </si>
  <si>
    <t>EF09LP10</t>
  </si>
  <si>
    <t>EF09LP11</t>
  </si>
  <si>
    <t>EF09LP12</t>
  </si>
  <si>
    <t>EF09MA01</t>
  </si>
  <si>
    <t>Resolver e elaborar problemas com números reais.</t>
  </si>
  <si>
    <t>EF09MA02</t>
  </si>
  <si>
    <t>Compreender operações com números reais.</t>
  </si>
  <si>
    <t>EF09MA03</t>
  </si>
  <si>
    <t>Resolver problemas envolvendo porcentagens e juros simples.</t>
  </si>
  <si>
    <t>EF09MA04</t>
  </si>
  <si>
    <t>EF09MA05</t>
  </si>
  <si>
    <t>EF09MA06</t>
  </si>
  <si>
    <t>Resolver sistemas de equações.</t>
  </si>
  <si>
    <t>EF09MA07</t>
  </si>
  <si>
    <t>Compreender funções.</t>
  </si>
  <si>
    <t>EF09MA08</t>
  </si>
  <si>
    <t>EF09MA09</t>
  </si>
  <si>
    <t>EF09MA10</t>
  </si>
  <si>
    <t>EF09MA11</t>
  </si>
  <si>
    <t>EF09MA12</t>
  </si>
  <si>
    <t>EF09CI01</t>
  </si>
  <si>
    <t>EF09CI02</t>
  </si>
  <si>
    <t>EF09CI03</t>
  </si>
  <si>
    <t>EF09CI04</t>
  </si>
  <si>
    <t>EF09CI05</t>
  </si>
  <si>
    <t>EF09CI06</t>
  </si>
  <si>
    <t>EF09CI07</t>
  </si>
  <si>
    <t>EF09HI01</t>
  </si>
  <si>
    <t>EF09HI02</t>
  </si>
  <si>
    <t>Compreender transformações sociais e culturais.</t>
  </si>
  <si>
    <t>EF09HI03</t>
  </si>
  <si>
    <t>Analisar a formação do mundo contemporâneo.</t>
  </si>
  <si>
    <t>EF09HI04</t>
  </si>
  <si>
    <t>Comparar diferentes culturas.</t>
  </si>
  <si>
    <t>EF09HI05</t>
  </si>
  <si>
    <t>EF09GE01</t>
  </si>
  <si>
    <t>EF09GE02</t>
  </si>
  <si>
    <t>EF09GE03</t>
  </si>
  <si>
    <t>EF09GE04</t>
  </si>
  <si>
    <t>EF09GE05</t>
  </si>
  <si>
    <t>EF09AR01</t>
  </si>
  <si>
    <t>EF09AR02</t>
  </si>
  <si>
    <t>EF09AR03</t>
  </si>
  <si>
    <t>EF09AR04</t>
  </si>
  <si>
    <t>EF09EF01</t>
  </si>
  <si>
    <t>EF09EF02</t>
  </si>
  <si>
    <t>EF09EF03</t>
  </si>
  <si>
    <t>EF09EF04</t>
  </si>
  <si>
    <t>Analisar tema, tese e argumentos em textos de diferentes gêneros.</t>
  </si>
  <si>
    <t>EM13LGG101</t>
  </si>
  <si>
    <t>Analisar diferentes linguagens e suas funções em contextos sociais.</t>
  </si>
  <si>
    <t>EM13LGG102</t>
  </si>
  <si>
    <t>Compreender processos de produção e circulação de textos.</t>
  </si>
  <si>
    <t>EM13LGG103</t>
  </si>
  <si>
    <t>Analisar discursos e seus efeitos de sentido.</t>
  </si>
  <si>
    <t>EM13LGG104</t>
  </si>
  <si>
    <t>Utilizar diferentes linguagens para se expressar.</t>
  </si>
  <si>
    <t>EM13LGG105</t>
  </si>
  <si>
    <t>Interpretar textos multimodais.</t>
  </si>
  <si>
    <t>EM13LGG106</t>
  </si>
  <si>
    <t>Produzir textos em diferentes gêneros e mídias.</t>
  </si>
  <si>
    <t>EM13MAT101</t>
  </si>
  <si>
    <t>Resolver problemas envolvendo números reais.</t>
  </si>
  <si>
    <t>EM13MAT102</t>
  </si>
  <si>
    <t>Compreender funções e suas representações.</t>
  </si>
  <si>
    <t>EM13MAT103</t>
  </si>
  <si>
    <t>Analisar gráficos e tabelas.</t>
  </si>
  <si>
    <t>EM13MAT104</t>
  </si>
  <si>
    <t>Resolver problemas envolvendo proporcionalidade.</t>
  </si>
  <si>
    <t>EM13MAT105</t>
  </si>
  <si>
    <t>Aplicar conceitos algébricos em situações-problema.</t>
  </si>
  <si>
    <t>EM13MAT106</t>
  </si>
  <si>
    <t>Interpretar dados estatísticos.</t>
  </si>
  <si>
    <t>EM13CNT101</t>
  </si>
  <si>
    <t>Compreender fenômenos naturais com base em conceitos científicos.</t>
  </si>
  <si>
    <t>EM13CNT102</t>
  </si>
  <si>
    <t>Analisar transformações da matéria e energia.</t>
  </si>
  <si>
    <t>EM13CNT103</t>
  </si>
  <si>
    <t>EM13CNT104</t>
  </si>
  <si>
    <t>Interpretar fenômenos físicos e químicos.</t>
  </si>
  <si>
    <t>EM13CNT105</t>
  </si>
  <si>
    <t>Compreender processos biológicos.</t>
  </si>
  <si>
    <t>EM13CNT106</t>
  </si>
  <si>
    <t>EM13CHS101</t>
  </si>
  <si>
    <t>Analisar processos históricos e sociais.</t>
  </si>
  <si>
    <t>EM13CHS102</t>
  </si>
  <si>
    <t>Compreender transformações no espaço geográfico.</t>
  </si>
  <si>
    <t>EM13CHS103</t>
  </si>
  <si>
    <t>Interpretar relações de poder e organização social.</t>
  </si>
  <si>
    <t>EM13CHS104</t>
  </si>
  <si>
    <t>EM13CHS105</t>
  </si>
  <si>
    <t>Compreender cidadania e direitos humanos.</t>
  </si>
  <si>
    <t>EM13CHS106</t>
  </si>
  <si>
    <t>Relacionar ciência,  tecnologia e sociedade.</t>
  </si>
  <si>
    <t>Relacionar sociedade,  economia e política.</t>
  </si>
  <si>
    <t>EM13LGG201</t>
  </si>
  <si>
    <t>Analisar criticamente diferentes linguagens em contextos sociais.</t>
  </si>
  <si>
    <t>EM13LGG202</t>
  </si>
  <si>
    <t>Compreender processos de circulação e recepção de textos.</t>
  </si>
  <si>
    <t>EM13LGG203</t>
  </si>
  <si>
    <t>Avaliar discursos e seus efeitos de sentido.</t>
  </si>
  <si>
    <t>EM13LGG204</t>
  </si>
  <si>
    <t>Produzir textos argumentativos em diferentes mídias.</t>
  </si>
  <si>
    <t>EM13LGG205</t>
  </si>
  <si>
    <t>Interpretar textos multimodais de maior complexidade.</t>
  </si>
  <si>
    <t>EM13LGG206</t>
  </si>
  <si>
    <t>Utilizar recursos linguísticos de forma estratégica.</t>
  </si>
  <si>
    <t>EM13MAT201</t>
  </si>
  <si>
    <t>Resolver problemas envolvendo funções.</t>
  </si>
  <si>
    <t>EM13MAT202</t>
  </si>
  <si>
    <t>Analisar gráficos e representações matemáticas.</t>
  </si>
  <si>
    <t>EM13MAT203</t>
  </si>
  <si>
    <t>Aplicar conceitos de geometria em situações-problema.</t>
  </si>
  <si>
    <t>EM13MAT204</t>
  </si>
  <si>
    <t>Resolver problemas envolvendo probabilidade.</t>
  </si>
  <si>
    <t>EM13MAT205</t>
  </si>
  <si>
    <t>EM13MAT206</t>
  </si>
  <si>
    <t>Modelar situações reais com matemática.</t>
  </si>
  <si>
    <t>EM13CNT201</t>
  </si>
  <si>
    <t>Analisar fenômenos naturais com base científica.</t>
  </si>
  <si>
    <t>EM13CNT202</t>
  </si>
  <si>
    <t>Compreender transformações químicas e físicas.</t>
  </si>
  <si>
    <t>EM13CNT203</t>
  </si>
  <si>
    <t>EM13CNT204</t>
  </si>
  <si>
    <t>Interpretar fenômenos físicos.</t>
  </si>
  <si>
    <t>EM13CNT205</t>
  </si>
  <si>
    <t>EM13CNT206</t>
  </si>
  <si>
    <t>Avaliar impactos ambientais.</t>
  </si>
  <si>
    <t>EM13CHS201</t>
  </si>
  <si>
    <t>EM13CHS202</t>
  </si>
  <si>
    <t>Compreender dinâmicas do espaço geográfico.</t>
  </si>
  <si>
    <t>EM13CHS203</t>
  </si>
  <si>
    <t>Interpretar relações de poder.</t>
  </si>
  <si>
    <t>EM13CHS204</t>
  </si>
  <si>
    <t>Analisar diferentes culturas e sociedades.</t>
  </si>
  <si>
    <t>EM13CHS205</t>
  </si>
  <si>
    <t>Compreender cidadania e direitos.</t>
  </si>
  <si>
    <t>EM13CHS206</t>
  </si>
  <si>
    <t>Relacionar economia,  política e sociedade.</t>
  </si>
  <si>
    <t>EM13LGG301</t>
  </si>
  <si>
    <t>Analisar criticamente discursos em diferentes linguagens e mídias.</t>
  </si>
  <si>
    <t>EM13LGG302</t>
  </si>
  <si>
    <t>Avaliar estratégias argumentativas em textos.</t>
  </si>
  <si>
    <t>EM13LGG303</t>
  </si>
  <si>
    <t>Produzir textos argumentativos com consistência e autoria.</t>
  </si>
  <si>
    <t>EM13LGG304</t>
  </si>
  <si>
    <t>Interpretar textos multimodais complexos.</t>
  </si>
  <si>
    <t>EM13LGG305</t>
  </si>
  <si>
    <t>Utilizar recursos linguísticos de forma estratégica e crítica.</t>
  </si>
  <si>
    <t>EM13LGG306</t>
  </si>
  <si>
    <t>Analisar práticas de linguagem em contextos sociais diversos.</t>
  </si>
  <si>
    <t>EM13MAT301</t>
  </si>
  <si>
    <t>Resolver problemas complexos envolvendo funções.</t>
  </si>
  <si>
    <t>EM13MAT302</t>
  </si>
  <si>
    <t>Analisar e interpretar gráficos e modelos matemáticos.</t>
  </si>
  <si>
    <t>EM13MAT303</t>
  </si>
  <si>
    <t>Aplicar conceitos de geometria analítica.</t>
  </si>
  <si>
    <t>EM13MAT304</t>
  </si>
  <si>
    <t>Resolver problemas envolvendo probabilidade e estatística.</t>
  </si>
  <si>
    <t>EM13MAT305</t>
  </si>
  <si>
    <t>Modelar situações reais com ferramentas matemáticas.</t>
  </si>
  <si>
    <t>EM13MAT306</t>
  </si>
  <si>
    <t>Avaliar resultados e estratégias matemáticas.</t>
  </si>
  <si>
    <t>EM13CNT301</t>
  </si>
  <si>
    <t>Analisar fenômenos naturais com base em modelos científicos.</t>
  </si>
  <si>
    <t>EM13CNT302</t>
  </si>
  <si>
    <t>EM13CNT303</t>
  </si>
  <si>
    <t>EM13CNT304</t>
  </si>
  <si>
    <t>Interpretar fenômenos físicos e suas aplicações.</t>
  </si>
  <si>
    <t>EM13CNT305</t>
  </si>
  <si>
    <t>Compreender processos biológicos complexos.</t>
  </si>
  <si>
    <t>EM13CNT306</t>
  </si>
  <si>
    <t>Avaliar impactos ambientais e propor soluções.</t>
  </si>
  <si>
    <t>EM13CHS301</t>
  </si>
  <si>
    <t>Analisar processos históricos contemporâneos.</t>
  </si>
  <si>
    <t>EM13CHS302</t>
  </si>
  <si>
    <t>Compreender dinâmicas geopolíticas.</t>
  </si>
  <si>
    <t>EM13CHS303</t>
  </si>
  <si>
    <t>Avaliar relações de poder e conflitos sociais.</t>
  </si>
  <si>
    <t>EM13CHS304</t>
  </si>
  <si>
    <t>Analisar diversidade cultural e identidades.</t>
  </si>
  <si>
    <t>EM13CHS305</t>
  </si>
  <si>
    <t>EM13CHS306</t>
  </si>
  <si>
    <t>Compreender transformações químicas,  físicas e biológicas.</t>
  </si>
  <si>
    <t>Avaliar relações entre ciência,  tecnologia e sociedade.</t>
  </si>
  <si>
    <t>Compreender cidadania,  direitos e democracia.</t>
  </si>
  <si>
    <t>Relacionar economia,  política e sociedade em contextos globais.</t>
  </si>
  <si>
    <t>LGG</t>
  </si>
  <si>
    <t>MAT</t>
  </si>
  <si>
    <t>CNT</t>
  </si>
  <si>
    <t>CHS</t>
  </si>
  <si>
    <t>Linguagens</t>
  </si>
  <si>
    <t>Ciências da Natureza</t>
  </si>
  <si>
    <t>Ciências Humanas e Sociais</t>
  </si>
  <si>
    <t>Ensino Médio</t>
  </si>
  <si>
    <t>Ensino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</si>
</sst>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F5C5-D942-4218-8ADD-BC095FFAC666}">
  <dimension ref="A1:O51"/>
  <sheetViews>
    <sheetView topLeftCell="C15" workbookViewId="0">
      <selection activeCell="J2" sqref="J2:L51"/>
    </sheetView>
  </sheetViews>
  <sheetFormatPr defaultRowHeight="15" x14ac:dyDescent="0.25"/>
  <cols>
    <col min="1" max="1" width="9.7109375" bestFit="1" customWidth="1"/>
    <col min="2" max="2" width="86.8554687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101</v>
      </c>
      <c r="J1" t="s">
        <v>547</v>
      </c>
      <c r="K1" t="s">
        <v>548</v>
      </c>
      <c r="L1" t="s">
        <v>549</v>
      </c>
    </row>
    <row r="2" spans="1:15" x14ac:dyDescent="0.25">
      <c r="A2" t="s">
        <v>1</v>
      </c>
      <c r="B2" t="s">
        <v>51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Reconhecer que textos são lidos da esquerda para a direita e de cima para baixo.</v>
      </c>
      <c r="L2" t="str">
        <f>A2</f>
        <v>EF01LP01</v>
      </c>
    </row>
    <row r="3" spans="1:15" x14ac:dyDescent="0.25">
      <c r="A3" t="s">
        <v>2</v>
      </c>
      <c r="B3" t="s">
        <v>52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Escrever palavras e frases estabelecendo correspondência entre sons e letras.</v>
      </c>
      <c r="L3" t="str">
        <f t="shared" ref="L3:L51" si="5">A3</f>
        <v>EF01LP02</v>
      </c>
    </row>
    <row r="4" spans="1:15" x14ac:dyDescent="0.25">
      <c r="A4" t="s">
        <v>3</v>
      </c>
      <c r="B4" t="s">
        <v>53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Identificar o tema de textos de diferentes gêneros.</v>
      </c>
      <c r="L4" t="str">
        <f t="shared" si="5"/>
        <v>EF01LP03</v>
      </c>
    </row>
    <row r="5" spans="1:15" x14ac:dyDescent="0.25">
      <c r="A5" t="s">
        <v>4</v>
      </c>
      <c r="B5" t="s">
        <v>54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Localizar informações explícitas em textos.</v>
      </c>
      <c r="L5" t="str">
        <f t="shared" si="5"/>
        <v>EF01LP04</v>
      </c>
    </row>
    <row r="6" spans="1:15" x14ac:dyDescent="0.25">
      <c r="A6" t="s">
        <v>5</v>
      </c>
      <c r="B6" t="s">
        <v>55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Reconhecer o sistema de escrita alfabética como representação dos sons da fala.</v>
      </c>
      <c r="L6" t="str">
        <f t="shared" si="5"/>
        <v>EF01LP05</v>
      </c>
      <c r="N6" t="s">
        <v>552</v>
      </c>
      <c r="O6" t="s">
        <v>553</v>
      </c>
    </row>
    <row r="7" spans="1:15" x14ac:dyDescent="0.25">
      <c r="A7" t="s">
        <v>6</v>
      </c>
      <c r="B7" t="s">
        <v>56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Relacionar elementos sonoros (sílabas, fonemas) às suas representações gráficas.</v>
      </c>
      <c r="L7" t="str">
        <f t="shared" si="5"/>
        <v>EF01LP06</v>
      </c>
      <c r="N7" t="s">
        <v>104</v>
      </c>
      <c r="O7" t="s">
        <v>105</v>
      </c>
    </row>
    <row r="8" spans="1:15" x14ac:dyDescent="0.25">
      <c r="A8" t="s">
        <v>7</v>
      </c>
      <c r="B8" t="s">
        <v>57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Identificar personagens, cenários e sequência de fatos em narrativas.</v>
      </c>
      <c r="L8" t="str">
        <f t="shared" si="5"/>
        <v>EF01LP07</v>
      </c>
      <c r="N8" t="s">
        <v>554</v>
      </c>
      <c r="O8" t="s">
        <v>555</v>
      </c>
    </row>
    <row r="9" spans="1:15" x14ac:dyDescent="0.25">
      <c r="A9" t="s">
        <v>8</v>
      </c>
      <c r="B9" t="s">
        <v>58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Relacionar texto verbal e não verbal.</v>
      </c>
      <c r="L9" t="str">
        <f t="shared" si="5"/>
        <v>EF01LP08</v>
      </c>
      <c r="N9" t="s">
        <v>556</v>
      </c>
      <c r="O9" t="s">
        <v>557</v>
      </c>
    </row>
    <row r="10" spans="1:15" x14ac:dyDescent="0.25">
      <c r="A10" t="s">
        <v>9</v>
      </c>
      <c r="B10" t="s">
        <v>59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Participar de situações de leitura compartilhada.</v>
      </c>
      <c r="L10" t="str">
        <f t="shared" si="5"/>
        <v>EF01LP09</v>
      </c>
      <c r="N10" t="s">
        <v>558</v>
      </c>
      <c r="O10" t="s">
        <v>559</v>
      </c>
    </row>
    <row r="11" spans="1:15" x14ac:dyDescent="0.25">
      <c r="A11" t="s">
        <v>10</v>
      </c>
      <c r="B11" t="s">
        <v>60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Produzir textos orais e escritos com apoio.</v>
      </c>
      <c r="L11" t="str">
        <f t="shared" si="5"/>
        <v>EF01LP10</v>
      </c>
      <c r="N11" t="s">
        <v>560</v>
      </c>
      <c r="O11" t="s">
        <v>561</v>
      </c>
    </row>
    <row r="12" spans="1:15" x14ac:dyDescent="0.25">
      <c r="A12" t="s">
        <v>11</v>
      </c>
      <c r="B12" t="s">
        <v>61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Revisar textos com apoio do professor.</v>
      </c>
      <c r="L12" t="str">
        <f t="shared" si="5"/>
        <v>EF01LP11</v>
      </c>
      <c r="N12" t="s">
        <v>103</v>
      </c>
      <c r="O12" t="s">
        <v>562</v>
      </c>
    </row>
    <row r="13" spans="1:15" x14ac:dyDescent="0.25">
      <c r="A13" t="s">
        <v>12</v>
      </c>
      <c r="B13" t="s">
        <v>62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Identificar diferentes gêneros textuais do cotidiano.</v>
      </c>
      <c r="L13" t="str">
        <f t="shared" si="5"/>
        <v>EF01LP12</v>
      </c>
    </row>
    <row r="14" spans="1:15" x14ac:dyDescent="0.25">
      <c r="A14" t="s">
        <v>13</v>
      </c>
      <c r="B14" t="s">
        <v>63</v>
      </c>
      <c r="D14" t="str">
        <f t="shared" si="0"/>
        <v>MA01</v>
      </c>
      <c r="E14" t="s">
        <v>550</v>
      </c>
      <c r="F14" t="s">
        <v>551</v>
      </c>
      <c r="G14" t="str">
        <f t="shared" si="1"/>
        <v>MA</v>
      </c>
      <c r="H14" t="str">
        <f t="shared" si="2"/>
        <v>Matemática</v>
      </c>
      <c r="J14" t="str">
        <f t="shared" si="3"/>
        <v>Matemática</v>
      </c>
      <c r="K14" t="str">
        <f t="shared" si="4"/>
        <v>Utilizar números naturais como indicador de quantidade ou de ordem em diferentes situações.</v>
      </c>
      <c r="L14" t="str">
        <f t="shared" si="5"/>
        <v>EF01MA01</v>
      </c>
    </row>
    <row r="15" spans="1:15" x14ac:dyDescent="0.25">
      <c r="A15" t="s">
        <v>14</v>
      </c>
      <c r="B15" t="s">
        <v>64</v>
      </c>
      <c r="D15" t="str">
        <f t="shared" si="0"/>
        <v>MA02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Contar de maneira exata ou aproximada, utilizando diferentes estratégias.</v>
      </c>
      <c r="L15" t="str">
        <f t="shared" si="5"/>
        <v>EF01MA02</v>
      </c>
    </row>
    <row r="16" spans="1:15" x14ac:dyDescent="0.25">
      <c r="A16" t="s">
        <v>15</v>
      </c>
      <c r="B16" t="s">
        <v>65</v>
      </c>
      <c r="D16" t="str">
        <f t="shared" si="0"/>
        <v>MA03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Comparar e ordenar números naturais.</v>
      </c>
      <c r="L16" t="str">
        <f t="shared" si="5"/>
        <v>EF01MA03</v>
      </c>
    </row>
    <row r="17" spans="1:12" x14ac:dyDescent="0.25">
      <c r="A17" t="s">
        <v>16</v>
      </c>
      <c r="B17" t="s">
        <v>66</v>
      </c>
      <c r="D17" t="str">
        <f t="shared" si="0"/>
        <v>MA04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Compor e decompor números naturais.</v>
      </c>
      <c r="L17" t="str">
        <f t="shared" si="5"/>
        <v>EF01MA04</v>
      </c>
    </row>
    <row r="18" spans="1:12" x14ac:dyDescent="0.25">
      <c r="A18" t="s">
        <v>17</v>
      </c>
      <c r="B18" t="s">
        <v>67</v>
      </c>
      <c r="D18" t="str">
        <f t="shared" si="0"/>
        <v>MA05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Resolver situações-problema envolvendo adição e subtração.</v>
      </c>
      <c r="L18" t="str">
        <f t="shared" si="5"/>
        <v>EF01MA05</v>
      </c>
    </row>
    <row r="19" spans="1:12" x14ac:dyDescent="0.25">
      <c r="A19" t="s">
        <v>18</v>
      </c>
      <c r="B19" t="s">
        <v>68</v>
      </c>
      <c r="D19" t="str">
        <f t="shared" si="0"/>
        <v>MA06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Utilizar estratégias pessoais de cálculo.</v>
      </c>
      <c r="L19" t="str">
        <f t="shared" si="5"/>
        <v>EF01MA06</v>
      </c>
    </row>
    <row r="20" spans="1:12" x14ac:dyDescent="0.25">
      <c r="A20" t="s">
        <v>19</v>
      </c>
      <c r="B20" t="s">
        <v>69</v>
      </c>
      <c r="D20" t="str">
        <f t="shared" si="0"/>
        <v>MA07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Identificar padrões em sequências numéricas.</v>
      </c>
      <c r="L20" t="str">
        <f t="shared" si="5"/>
        <v>EF01MA07</v>
      </c>
    </row>
    <row r="21" spans="1:12" x14ac:dyDescent="0.25">
      <c r="A21" t="s">
        <v>20</v>
      </c>
      <c r="B21" t="s">
        <v>70</v>
      </c>
      <c r="D21" t="str">
        <f t="shared" si="0"/>
        <v>MA08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Reconhecer e nomear figuras geométricas planas.</v>
      </c>
      <c r="L21" t="str">
        <f t="shared" si="5"/>
        <v>EF01MA08</v>
      </c>
    </row>
    <row r="22" spans="1:12" x14ac:dyDescent="0.25">
      <c r="A22" t="s">
        <v>21</v>
      </c>
      <c r="B22" t="s">
        <v>71</v>
      </c>
      <c r="D22" t="str">
        <f t="shared" si="0"/>
        <v>MA09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Descrever localização e movimentação de objetos no espaço.</v>
      </c>
      <c r="L22" t="str">
        <f t="shared" si="5"/>
        <v>EF01MA09</v>
      </c>
    </row>
    <row r="23" spans="1:12" x14ac:dyDescent="0.25">
      <c r="A23" t="s">
        <v>22</v>
      </c>
      <c r="B23" t="s">
        <v>72</v>
      </c>
      <c r="D23" t="str">
        <f t="shared" si="0"/>
        <v>MA10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Comparar grandezas como comprimento, massa e capacidade.</v>
      </c>
      <c r="L23" t="str">
        <f t="shared" si="5"/>
        <v>EF01MA10</v>
      </c>
    </row>
    <row r="24" spans="1:12" x14ac:dyDescent="0.25">
      <c r="A24" t="s">
        <v>23</v>
      </c>
      <c r="B24" t="s">
        <v>73</v>
      </c>
      <c r="D24" t="str">
        <f t="shared" si="0"/>
        <v>MA11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Reconhecer e utilizar unidades de medida não padronizadas.</v>
      </c>
      <c r="L24" t="str">
        <f t="shared" si="5"/>
        <v>EF01MA11</v>
      </c>
    </row>
    <row r="25" spans="1:12" x14ac:dyDescent="0.25">
      <c r="A25" t="s">
        <v>24</v>
      </c>
      <c r="B25" t="s">
        <v>74</v>
      </c>
      <c r="D25" t="str">
        <f t="shared" si="0"/>
        <v>CI01</v>
      </c>
      <c r="E25" t="s">
        <v>550</v>
      </c>
      <c r="F25" t="s">
        <v>551</v>
      </c>
      <c r="G25" t="str">
        <f t="shared" si="1"/>
        <v>CI</v>
      </c>
      <c r="H25" t="str">
        <f t="shared" si="2"/>
        <v>Ciências</v>
      </c>
      <c r="J25" t="str">
        <f t="shared" si="3"/>
        <v>Ciências</v>
      </c>
      <c r="K25" t="str">
        <f t="shared" si="4"/>
        <v>Identificar características dos materiais presentes no cotidiano.</v>
      </c>
      <c r="L25" t="str">
        <f t="shared" si="5"/>
        <v>EF01CI01</v>
      </c>
    </row>
    <row r="26" spans="1:12" x14ac:dyDescent="0.25">
      <c r="A26" t="s">
        <v>25</v>
      </c>
      <c r="B26" t="s">
        <v>75</v>
      </c>
      <c r="D26" t="str">
        <f t="shared" si="0"/>
        <v>CI02</v>
      </c>
      <c r="E26" t="s">
        <v>550</v>
      </c>
      <c r="F26" t="s">
        <v>551</v>
      </c>
      <c r="G26" t="str">
        <f t="shared" si="1"/>
        <v>CI</v>
      </c>
      <c r="H26" t="str">
        <f t="shared" si="2"/>
        <v>Ciências</v>
      </c>
      <c r="J26" t="str">
        <f t="shared" si="3"/>
        <v>Ciências</v>
      </c>
      <c r="K26" t="str">
        <f t="shared" si="4"/>
        <v>Classificar objetos de acordo com suas propriedades.</v>
      </c>
      <c r="L26" t="str">
        <f t="shared" si="5"/>
        <v>EF01CI02</v>
      </c>
    </row>
    <row r="27" spans="1:12" x14ac:dyDescent="0.25">
      <c r="A27" t="s">
        <v>26</v>
      </c>
      <c r="B27" t="s">
        <v>76</v>
      </c>
      <c r="D27" t="str">
        <f t="shared" si="0"/>
        <v>CI03</v>
      </c>
      <c r="E27" t="s">
        <v>550</v>
      </c>
      <c r="F27" t="s">
        <v>551</v>
      </c>
      <c r="G27" t="str">
        <f t="shared" si="1"/>
        <v>CI</v>
      </c>
      <c r="H27" t="str">
        <f t="shared" si="2"/>
        <v>Ciências</v>
      </c>
      <c r="J27" t="str">
        <f t="shared" si="3"/>
        <v>Ciências</v>
      </c>
      <c r="K27" t="str">
        <f t="shared" si="4"/>
        <v>Reconhecer usos e transformações de materiais.</v>
      </c>
      <c r="L27" t="str">
        <f t="shared" si="5"/>
        <v>EF01CI03</v>
      </c>
    </row>
    <row r="28" spans="1:12" x14ac:dyDescent="0.25">
      <c r="A28" t="s">
        <v>27</v>
      </c>
      <c r="B28" t="s">
        <v>77</v>
      </c>
      <c r="D28" t="str">
        <f t="shared" si="0"/>
        <v>CI04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Identificar partes do corpo humano e suas funções.</v>
      </c>
      <c r="L28" t="str">
        <f t="shared" si="5"/>
        <v>EF01CI04</v>
      </c>
    </row>
    <row r="29" spans="1:12" x14ac:dyDescent="0.25">
      <c r="A29" t="s">
        <v>28</v>
      </c>
      <c r="B29" t="s">
        <v>78</v>
      </c>
      <c r="D29" t="str">
        <f t="shared" si="0"/>
        <v>CI05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Reconhecer hábitos de higiene e cuidados com o corpo.</v>
      </c>
      <c r="L29" t="str">
        <f t="shared" si="5"/>
        <v>EF01CI05</v>
      </c>
    </row>
    <row r="30" spans="1:12" x14ac:dyDescent="0.25">
      <c r="A30" t="s">
        <v>29</v>
      </c>
      <c r="B30" t="s">
        <v>79</v>
      </c>
      <c r="D30" t="str">
        <f t="shared" si="0"/>
        <v>CI06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Identificar características dos seres vivos.</v>
      </c>
      <c r="L30" t="str">
        <f t="shared" si="5"/>
        <v>EF01CI06</v>
      </c>
    </row>
    <row r="31" spans="1:12" x14ac:dyDescent="0.25">
      <c r="A31" t="s">
        <v>30</v>
      </c>
      <c r="B31" t="s">
        <v>80</v>
      </c>
      <c r="D31" t="str">
        <f t="shared" si="0"/>
        <v>CI07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Reconhecer diferenças entre seres vivos e não vivos.</v>
      </c>
      <c r="L31" t="str">
        <f t="shared" si="5"/>
        <v>EF01CI07</v>
      </c>
    </row>
    <row r="32" spans="1:12" x14ac:dyDescent="0.25">
      <c r="A32" t="s">
        <v>31</v>
      </c>
      <c r="B32" t="s">
        <v>81</v>
      </c>
      <c r="D32" t="str">
        <f t="shared" si="0"/>
        <v>CI08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Identificar relações entre os seres vivos e o ambiente.</v>
      </c>
      <c r="L32" t="str">
        <f t="shared" si="5"/>
        <v>EF01CI08</v>
      </c>
    </row>
    <row r="33" spans="1:12" x14ac:dyDescent="0.25">
      <c r="A33" t="s">
        <v>32</v>
      </c>
      <c r="B33" t="s">
        <v>82</v>
      </c>
      <c r="D33" t="str">
        <f t="shared" si="0"/>
        <v>HI01</v>
      </c>
      <c r="E33" t="s">
        <v>550</v>
      </c>
      <c r="F33" t="s">
        <v>551</v>
      </c>
      <c r="G33" t="str">
        <f t="shared" si="1"/>
        <v>HI</v>
      </c>
      <c r="H33" t="str">
        <f t="shared" si="2"/>
        <v>História</v>
      </c>
      <c r="J33" t="str">
        <f t="shared" si="3"/>
        <v>História</v>
      </c>
      <c r="K33" t="str">
        <f t="shared" si="4"/>
        <v>Identificar aspectos do seu grupo social e da sua história.</v>
      </c>
      <c r="L33" t="str">
        <f t="shared" si="5"/>
        <v>EF01HI01</v>
      </c>
    </row>
    <row r="34" spans="1:12" x14ac:dyDescent="0.25">
      <c r="A34" t="s">
        <v>33</v>
      </c>
      <c r="B34" t="s">
        <v>83</v>
      </c>
      <c r="D34" t="str">
        <f t="shared" si="0"/>
        <v>HI02</v>
      </c>
      <c r="E34" t="s">
        <v>550</v>
      </c>
      <c r="F34" t="s">
        <v>551</v>
      </c>
      <c r="G34" t="str">
        <f t="shared" si="1"/>
        <v>HI</v>
      </c>
      <c r="H34" t="str">
        <f t="shared" si="2"/>
        <v>História</v>
      </c>
      <c r="J34" t="str">
        <f t="shared" si="3"/>
        <v>História</v>
      </c>
      <c r="K34" t="str">
        <f t="shared" si="4"/>
        <v>Reconhecer semelhanças e diferenças entre grupos sociais.</v>
      </c>
      <c r="L34" t="str">
        <f t="shared" si="5"/>
        <v>EF01HI02</v>
      </c>
    </row>
    <row r="35" spans="1:12" x14ac:dyDescent="0.25">
      <c r="A35" t="s">
        <v>34</v>
      </c>
      <c r="B35" t="s">
        <v>84</v>
      </c>
      <c r="D35" t="str">
        <f t="shared" si="0"/>
        <v>HI03</v>
      </c>
      <c r="E35" t="s">
        <v>550</v>
      </c>
      <c r="F35" t="s">
        <v>551</v>
      </c>
      <c r="G35" t="str">
        <f t="shared" si="1"/>
        <v>HI</v>
      </c>
      <c r="H35" t="str">
        <f t="shared" si="2"/>
        <v>História</v>
      </c>
      <c r="J35" t="str">
        <f t="shared" si="3"/>
        <v>História</v>
      </c>
      <c r="K35" t="str">
        <f t="shared" si="4"/>
        <v>Identificar mudanças e permanências ao longo do tempo.</v>
      </c>
      <c r="L35" t="str">
        <f t="shared" si="5"/>
        <v>EF01HI03</v>
      </c>
    </row>
    <row r="36" spans="1:12" x14ac:dyDescent="0.25">
      <c r="A36" t="s">
        <v>35</v>
      </c>
      <c r="B36" t="s">
        <v>85</v>
      </c>
      <c r="D36" t="str">
        <f t="shared" si="0"/>
        <v>HI04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Reconhecer diferentes formas de organização familiar.</v>
      </c>
      <c r="L36" t="str">
        <f t="shared" si="5"/>
        <v>EF01HI04</v>
      </c>
    </row>
    <row r="37" spans="1:12" x14ac:dyDescent="0.25">
      <c r="A37" t="s">
        <v>36</v>
      </c>
      <c r="B37" t="s">
        <v>86</v>
      </c>
      <c r="D37" t="str">
        <f t="shared" si="0"/>
        <v>HI05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Identificar acontecimentos significativos da vida cotidiana.</v>
      </c>
      <c r="L37" t="str">
        <f t="shared" si="5"/>
        <v>EF01HI05</v>
      </c>
    </row>
    <row r="38" spans="1:12" x14ac:dyDescent="0.25">
      <c r="A38" t="s">
        <v>37</v>
      </c>
      <c r="B38" t="s">
        <v>87</v>
      </c>
      <c r="D38" t="str">
        <f t="shared" si="0"/>
        <v>GE01</v>
      </c>
      <c r="E38" t="s">
        <v>550</v>
      </c>
      <c r="F38" t="s">
        <v>551</v>
      </c>
      <c r="G38" t="str">
        <f t="shared" si="1"/>
        <v>GE</v>
      </c>
      <c r="H38" t="str">
        <f t="shared" si="2"/>
        <v>Geografia</v>
      </c>
      <c r="J38" t="str">
        <f t="shared" si="3"/>
        <v>Geografia</v>
      </c>
      <c r="K38" t="str">
        <f t="shared" si="4"/>
        <v>Descrever características do lugar onde vive.</v>
      </c>
      <c r="L38" t="str">
        <f t="shared" si="5"/>
        <v>EF01GE01</v>
      </c>
    </row>
    <row r="39" spans="1:12" x14ac:dyDescent="0.25">
      <c r="A39" t="s">
        <v>38</v>
      </c>
      <c r="B39" t="s">
        <v>88</v>
      </c>
      <c r="D39" t="str">
        <f t="shared" si="0"/>
        <v>GE02</v>
      </c>
      <c r="E39" t="s">
        <v>550</v>
      </c>
      <c r="F39" t="s">
        <v>551</v>
      </c>
      <c r="G39" t="str">
        <f t="shared" si="1"/>
        <v>GE</v>
      </c>
      <c r="H39" t="str">
        <f t="shared" si="2"/>
        <v>Geografia</v>
      </c>
      <c r="J39" t="str">
        <f t="shared" si="3"/>
        <v>Geografia</v>
      </c>
      <c r="K39" t="str">
        <f t="shared" si="4"/>
        <v>Identificar relações entre pessoas e o ambiente.</v>
      </c>
      <c r="L39" t="str">
        <f t="shared" si="5"/>
        <v>EF01GE02</v>
      </c>
    </row>
    <row r="40" spans="1:12" x14ac:dyDescent="0.25">
      <c r="A40" t="s">
        <v>39</v>
      </c>
      <c r="B40" t="s">
        <v>89</v>
      </c>
      <c r="D40" t="str">
        <f t="shared" si="0"/>
        <v>GE03</v>
      </c>
      <c r="E40" t="s">
        <v>550</v>
      </c>
      <c r="F40" t="s">
        <v>551</v>
      </c>
      <c r="G40" t="str">
        <f t="shared" si="1"/>
        <v>GE</v>
      </c>
      <c r="H40" t="str">
        <f t="shared" si="2"/>
        <v>Geografia</v>
      </c>
      <c r="J40" t="str">
        <f t="shared" si="3"/>
        <v>Geografia</v>
      </c>
      <c r="K40" t="str">
        <f t="shared" si="4"/>
        <v>Reconhecer diferentes tipos de moradia.</v>
      </c>
      <c r="L40" t="str">
        <f t="shared" si="5"/>
        <v>EF01GE03</v>
      </c>
    </row>
    <row r="41" spans="1:12" x14ac:dyDescent="0.25">
      <c r="A41" t="s">
        <v>40</v>
      </c>
      <c r="B41" t="s">
        <v>90</v>
      </c>
      <c r="D41" t="str">
        <f t="shared" si="0"/>
        <v>GE04</v>
      </c>
      <c r="E41" t="s">
        <v>550</v>
      </c>
      <c r="F41" t="s">
        <v>551</v>
      </c>
      <c r="G41" t="str">
        <f t="shared" si="1"/>
        <v>GE</v>
      </c>
      <c r="H41" t="str">
        <f t="shared" si="2"/>
        <v>Geografia</v>
      </c>
      <c r="J41" t="str">
        <f t="shared" si="3"/>
        <v>Geografia</v>
      </c>
      <c r="K41" t="str">
        <f t="shared" si="4"/>
        <v>Identificar elementos naturais e construídos.</v>
      </c>
      <c r="L41" t="str">
        <f t="shared" si="5"/>
        <v>EF01GE04</v>
      </c>
    </row>
    <row r="42" spans="1:12" x14ac:dyDescent="0.25">
      <c r="A42" t="s">
        <v>41</v>
      </c>
      <c r="B42" t="s">
        <v>91</v>
      </c>
      <c r="D42" t="str">
        <f t="shared" si="0"/>
        <v>GE05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Reconhecer diferentes paisagens.</v>
      </c>
      <c r="L42" t="str">
        <f t="shared" si="5"/>
        <v>EF01GE05</v>
      </c>
    </row>
    <row r="43" spans="1:12" x14ac:dyDescent="0.25">
      <c r="A43" t="s">
        <v>42</v>
      </c>
      <c r="B43" t="s">
        <v>92</v>
      </c>
      <c r="D43" t="str">
        <f t="shared" si="0"/>
        <v>GE06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Identificar formas de orientação no espaço.</v>
      </c>
      <c r="L43" t="str">
        <f t="shared" si="5"/>
        <v>EF01GE06</v>
      </c>
    </row>
    <row r="44" spans="1:12" x14ac:dyDescent="0.25">
      <c r="A44" t="s">
        <v>43</v>
      </c>
      <c r="B44" t="s">
        <v>93</v>
      </c>
      <c r="D44" t="str">
        <f t="shared" si="0"/>
        <v>AR01</v>
      </c>
      <c r="E44" t="s">
        <v>550</v>
      </c>
      <c r="F44" t="s">
        <v>551</v>
      </c>
      <c r="G44" t="str">
        <f t="shared" si="1"/>
        <v>AR</v>
      </c>
      <c r="H44" t="str">
        <f t="shared" si="2"/>
        <v>Arte</v>
      </c>
      <c r="J44" t="str">
        <f t="shared" si="3"/>
        <v>Arte</v>
      </c>
      <c r="K44" t="str">
        <f t="shared" si="4"/>
        <v>Experimentar diferentes formas de expressão artística.</v>
      </c>
      <c r="L44" t="str">
        <f t="shared" si="5"/>
        <v>EF01AR01</v>
      </c>
    </row>
    <row r="45" spans="1:12" x14ac:dyDescent="0.25">
      <c r="A45" t="s">
        <v>44</v>
      </c>
      <c r="B45" t="s">
        <v>94</v>
      </c>
      <c r="D45" t="str">
        <f t="shared" si="0"/>
        <v>AR02</v>
      </c>
      <c r="E45" t="s">
        <v>550</v>
      </c>
      <c r="F45" t="s">
        <v>551</v>
      </c>
      <c r="G45" t="str">
        <f t="shared" si="1"/>
        <v>AR</v>
      </c>
      <c r="H45" t="str">
        <f t="shared" si="2"/>
        <v>Arte</v>
      </c>
      <c r="J45" t="str">
        <f t="shared" si="3"/>
        <v>Arte</v>
      </c>
      <c r="K45" t="str">
        <f t="shared" si="4"/>
        <v>Explorar materiais e técnicas diversas na produção artística.</v>
      </c>
      <c r="L45" t="str">
        <f t="shared" si="5"/>
        <v>EF01AR02</v>
      </c>
    </row>
    <row r="46" spans="1:12" x14ac:dyDescent="0.25">
      <c r="A46" t="s">
        <v>45</v>
      </c>
      <c r="B46" t="s">
        <v>95</v>
      </c>
      <c r="D46" t="str">
        <f t="shared" si="0"/>
        <v>AR03</v>
      </c>
      <c r="E46" t="s">
        <v>550</v>
      </c>
      <c r="F46" t="s">
        <v>551</v>
      </c>
      <c r="G46" t="str">
        <f t="shared" si="1"/>
        <v>AR</v>
      </c>
      <c r="H46" t="str">
        <f t="shared" si="2"/>
        <v>Arte</v>
      </c>
      <c r="J46" t="str">
        <f t="shared" si="3"/>
        <v>Arte</v>
      </c>
      <c r="K46" t="str">
        <f t="shared" si="4"/>
        <v>Reconhecer elementos das artes visuais, música e dança.</v>
      </c>
      <c r="L46" t="str">
        <f t="shared" si="5"/>
        <v>EF01AR03</v>
      </c>
    </row>
    <row r="47" spans="1:12" x14ac:dyDescent="0.25">
      <c r="A47" t="s">
        <v>46</v>
      </c>
      <c r="B47" t="s">
        <v>96</v>
      </c>
      <c r="D47" t="str">
        <f t="shared" si="0"/>
        <v>AR04</v>
      </c>
      <c r="E47" t="s">
        <v>550</v>
      </c>
      <c r="F47" t="s">
        <v>551</v>
      </c>
      <c r="G47" t="str">
        <f t="shared" si="1"/>
        <v>AR</v>
      </c>
      <c r="H47" t="str">
        <f t="shared" si="2"/>
        <v>Arte</v>
      </c>
      <c r="J47" t="str">
        <f t="shared" si="3"/>
        <v>Arte</v>
      </c>
      <c r="K47" t="str">
        <f t="shared" si="4"/>
        <v>Expressar ideias e sentimentos por meio da arte.</v>
      </c>
      <c r="L47" t="str">
        <f t="shared" si="5"/>
        <v>EF01AR04</v>
      </c>
    </row>
    <row r="48" spans="1:12" x14ac:dyDescent="0.25">
      <c r="A48" t="s">
        <v>47</v>
      </c>
      <c r="B48" t="s">
        <v>97</v>
      </c>
      <c r="D48" t="str">
        <f t="shared" si="0"/>
        <v>EF01</v>
      </c>
      <c r="E48" t="s">
        <v>550</v>
      </c>
      <c r="F48" t="s">
        <v>551</v>
      </c>
      <c r="G48" t="str">
        <f t="shared" si="1"/>
        <v>EF</v>
      </c>
      <c r="H48" t="str">
        <f t="shared" si="2"/>
        <v>Educação Física</v>
      </c>
      <c r="J48" t="str">
        <f t="shared" si="3"/>
        <v>Educação Física</v>
      </c>
      <c r="K48" t="str">
        <f t="shared" si="4"/>
        <v>Participar de jogos e brincadeiras respeitando regras.</v>
      </c>
      <c r="L48" t="str">
        <f t="shared" si="5"/>
        <v>EF01EF01</v>
      </c>
    </row>
    <row r="49" spans="1:12" x14ac:dyDescent="0.25">
      <c r="A49" t="s">
        <v>48</v>
      </c>
      <c r="B49" t="s">
        <v>98</v>
      </c>
      <c r="D49" t="str">
        <f t="shared" si="0"/>
        <v>EF02</v>
      </c>
      <c r="E49" t="s">
        <v>550</v>
      </c>
      <c r="F49" t="s">
        <v>551</v>
      </c>
      <c r="G49" t="str">
        <f t="shared" si="1"/>
        <v>EF</v>
      </c>
      <c r="H49" t="str">
        <f t="shared" si="2"/>
        <v>Educação Física</v>
      </c>
      <c r="J49" t="str">
        <f t="shared" si="3"/>
        <v>Educação Física</v>
      </c>
      <c r="K49" t="str">
        <f t="shared" si="4"/>
        <v>Experimentar movimentos corporais em diferentes contextos.</v>
      </c>
      <c r="L49" t="str">
        <f t="shared" si="5"/>
        <v>EF01EF02</v>
      </c>
    </row>
    <row r="50" spans="1:12" x14ac:dyDescent="0.25">
      <c r="A50" t="s">
        <v>49</v>
      </c>
      <c r="B50" t="s">
        <v>99</v>
      </c>
      <c r="D50" t="str">
        <f t="shared" si="0"/>
        <v>EF03</v>
      </c>
      <c r="E50" t="s">
        <v>550</v>
      </c>
      <c r="F50" t="s">
        <v>551</v>
      </c>
      <c r="G50" t="str">
        <f t="shared" si="1"/>
        <v>EF</v>
      </c>
      <c r="H50" t="str">
        <f t="shared" si="2"/>
        <v>Educação Física</v>
      </c>
      <c r="J50" t="str">
        <f t="shared" si="3"/>
        <v>Educação Física</v>
      </c>
      <c r="K50" t="str">
        <f t="shared" si="4"/>
        <v>Reconhecer a importância da cooperação nas atividades físicas.</v>
      </c>
      <c r="L50" t="str">
        <f t="shared" si="5"/>
        <v>EF01EF03</v>
      </c>
    </row>
    <row r="51" spans="1:12" x14ac:dyDescent="0.25">
      <c r="A51" t="s">
        <v>50</v>
      </c>
      <c r="B51" t="s">
        <v>100</v>
      </c>
      <c r="D51" t="str">
        <f t="shared" si="0"/>
        <v>EF04</v>
      </c>
      <c r="E51" t="s">
        <v>550</v>
      </c>
      <c r="F51" t="s">
        <v>551</v>
      </c>
      <c r="G51" t="str">
        <f t="shared" si="1"/>
        <v>EF</v>
      </c>
      <c r="H51" t="str">
        <f t="shared" si="2"/>
        <v>Educação Física</v>
      </c>
      <c r="J51" t="str">
        <f t="shared" si="3"/>
        <v>Educação Física</v>
      </c>
      <c r="K51" t="str">
        <f t="shared" si="4"/>
        <v>Explorar diferentes habilidades motoras básicas.</v>
      </c>
      <c r="L51" t="str">
        <f t="shared" si="5"/>
        <v>EF01EF04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ADE3-E0F7-432D-BECC-A0DE4042B2DF}">
  <dimension ref="A1:O51"/>
  <sheetViews>
    <sheetView topLeftCell="B15" workbookViewId="0">
      <selection activeCell="J2" sqref="J2:L51"/>
    </sheetView>
  </sheetViews>
  <sheetFormatPr defaultRowHeight="15" x14ac:dyDescent="0.25"/>
  <cols>
    <col min="1" max="1" width="9.5703125" bestFit="1" customWidth="1"/>
    <col min="2" max="2" width="67.4257812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106</v>
      </c>
      <c r="B2" t="s">
        <v>55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Reconhecer o sistema de escrita alfabética como representação dos sons da fala.</v>
      </c>
      <c r="L2" t="str">
        <f>A2</f>
        <v>EF02LP01</v>
      </c>
    </row>
    <row r="3" spans="1:15" x14ac:dyDescent="0.25">
      <c r="A3" t="s">
        <v>107</v>
      </c>
      <c r="B3" t="s">
        <v>154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Segmentar palavras em sílabas e identificar correspondência entre sons e letras.</v>
      </c>
      <c r="L3" t="str">
        <f t="shared" ref="L3:L51" si="5">A3</f>
        <v>EF02LP02</v>
      </c>
    </row>
    <row r="4" spans="1:15" x14ac:dyDescent="0.25">
      <c r="A4" t="s">
        <v>108</v>
      </c>
      <c r="B4" t="s">
        <v>155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Ler e compreender palavras e frases em textos curtos.</v>
      </c>
      <c r="L4" t="str">
        <f t="shared" si="5"/>
        <v>EF02LP03</v>
      </c>
    </row>
    <row r="5" spans="1:15" x14ac:dyDescent="0.25">
      <c r="A5" t="s">
        <v>109</v>
      </c>
      <c r="B5" t="s">
        <v>54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Localizar informações explícitas em textos.</v>
      </c>
      <c r="L5" t="str">
        <f t="shared" si="5"/>
        <v>EF02LP04</v>
      </c>
    </row>
    <row r="6" spans="1:15" x14ac:dyDescent="0.25">
      <c r="A6" t="s">
        <v>110</v>
      </c>
      <c r="B6" t="s">
        <v>156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Inferir informações em textos simples.</v>
      </c>
      <c r="L6" t="str">
        <f t="shared" si="5"/>
        <v>EF02LP05</v>
      </c>
      <c r="N6" t="s">
        <v>552</v>
      </c>
      <c r="O6" t="s">
        <v>553</v>
      </c>
    </row>
    <row r="7" spans="1:15" x14ac:dyDescent="0.25">
      <c r="A7" t="s">
        <v>111</v>
      </c>
      <c r="B7" t="s">
        <v>157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Identificar a finalidade de diferentes gêneros textuais.</v>
      </c>
      <c r="L7" t="str">
        <f t="shared" si="5"/>
        <v>EF02LP06</v>
      </c>
      <c r="N7" t="s">
        <v>104</v>
      </c>
      <c r="O7" t="s">
        <v>105</v>
      </c>
    </row>
    <row r="8" spans="1:15" x14ac:dyDescent="0.25">
      <c r="A8" t="s">
        <v>112</v>
      </c>
      <c r="B8" t="s">
        <v>158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Reconhecer elementos da narrativa como personagens e sequência de fatos.</v>
      </c>
      <c r="L8" t="str">
        <f t="shared" si="5"/>
        <v>EF02LP07</v>
      </c>
      <c r="N8" t="s">
        <v>554</v>
      </c>
      <c r="O8" t="s">
        <v>555</v>
      </c>
    </row>
    <row r="9" spans="1:15" x14ac:dyDescent="0.25">
      <c r="A9" t="s">
        <v>113</v>
      </c>
      <c r="B9" t="s">
        <v>58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Relacionar texto verbal e não verbal.</v>
      </c>
      <c r="L9" t="str">
        <f t="shared" si="5"/>
        <v>EF02LP08</v>
      </c>
      <c r="N9" t="s">
        <v>556</v>
      </c>
      <c r="O9" t="s">
        <v>557</v>
      </c>
    </row>
    <row r="10" spans="1:15" x14ac:dyDescent="0.25">
      <c r="A10" t="s">
        <v>114</v>
      </c>
      <c r="B10" t="s">
        <v>159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Produzir textos curtos com coerência.</v>
      </c>
      <c r="L10" t="str">
        <f t="shared" si="5"/>
        <v>EF02LP09</v>
      </c>
      <c r="N10" t="s">
        <v>558</v>
      </c>
      <c r="O10" t="s">
        <v>559</v>
      </c>
    </row>
    <row r="11" spans="1:15" x14ac:dyDescent="0.25">
      <c r="A11" t="s">
        <v>115</v>
      </c>
      <c r="B11" t="s">
        <v>160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Revisar textos com apoio.</v>
      </c>
      <c r="L11" t="str">
        <f t="shared" si="5"/>
        <v>EF02LP10</v>
      </c>
      <c r="N11" t="s">
        <v>560</v>
      </c>
      <c r="O11" t="s">
        <v>561</v>
      </c>
    </row>
    <row r="12" spans="1:15" x14ac:dyDescent="0.25">
      <c r="A12" t="s">
        <v>116</v>
      </c>
      <c r="B12" t="s">
        <v>161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Utilizar pontuação básica em textos escritos.</v>
      </c>
      <c r="L12" t="str">
        <f t="shared" si="5"/>
        <v>EF02LP11</v>
      </c>
      <c r="N12" t="s">
        <v>103</v>
      </c>
      <c r="O12" t="s">
        <v>562</v>
      </c>
    </row>
    <row r="13" spans="1:15" x14ac:dyDescent="0.25">
      <c r="A13" t="s">
        <v>117</v>
      </c>
      <c r="B13" t="s">
        <v>162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Participar de situações de leitura e escrita compartilhadas.</v>
      </c>
      <c r="L13" t="str">
        <f t="shared" si="5"/>
        <v>EF02LP12</v>
      </c>
    </row>
    <row r="14" spans="1:15" x14ac:dyDescent="0.25">
      <c r="A14" t="s">
        <v>118</v>
      </c>
      <c r="B14" t="s">
        <v>163</v>
      </c>
      <c r="D14" t="str">
        <f t="shared" si="0"/>
        <v>MA01</v>
      </c>
      <c r="E14" t="s">
        <v>550</v>
      </c>
      <c r="F14" t="s">
        <v>551</v>
      </c>
      <c r="G14" t="str">
        <f t="shared" si="1"/>
        <v>MA</v>
      </c>
      <c r="H14" t="str">
        <f t="shared" si="2"/>
        <v>Matemática</v>
      </c>
      <c r="J14" t="str">
        <f t="shared" si="3"/>
        <v>Matemática</v>
      </c>
      <c r="K14" t="str">
        <f t="shared" si="4"/>
        <v>Utilizar números naturais até três ordens em diferentes situações.</v>
      </c>
      <c r="L14" t="str">
        <f t="shared" si="5"/>
        <v>EF02MA01</v>
      </c>
    </row>
    <row r="15" spans="1:15" x14ac:dyDescent="0.25">
      <c r="A15" t="s">
        <v>119</v>
      </c>
      <c r="B15" t="s">
        <v>66</v>
      </c>
      <c r="D15" t="str">
        <f t="shared" si="0"/>
        <v>MA02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Compor e decompor números naturais.</v>
      </c>
      <c r="L15" t="str">
        <f t="shared" si="5"/>
        <v>EF02MA02</v>
      </c>
    </row>
    <row r="16" spans="1:15" x14ac:dyDescent="0.25">
      <c r="A16" t="s">
        <v>120</v>
      </c>
      <c r="B16" t="s">
        <v>65</v>
      </c>
      <c r="D16" t="str">
        <f t="shared" si="0"/>
        <v>MA03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Comparar e ordenar números naturais.</v>
      </c>
      <c r="L16" t="str">
        <f t="shared" si="5"/>
        <v>EF02MA03</v>
      </c>
    </row>
    <row r="17" spans="1:12" x14ac:dyDescent="0.25">
      <c r="A17" t="s">
        <v>121</v>
      </c>
      <c r="B17" t="s">
        <v>67</v>
      </c>
      <c r="D17" t="str">
        <f t="shared" si="0"/>
        <v>MA04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situações-problema envolvendo adição e subtração.</v>
      </c>
      <c r="L17" t="str">
        <f t="shared" si="5"/>
        <v>EF02MA04</v>
      </c>
    </row>
    <row r="18" spans="1:12" x14ac:dyDescent="0.25">
      <c r="A18" t="s">
        <v>122</v>
      </c>
      <c r="B18" t="s">
        <v>164</v>
      </c>
      <c r="D18" t="str">
        <f t="shared" si="0"/>
        <v>MA05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Desenvolver estratégias de cálculo mental.</v>
      </c>
      <c r="L18" t="str">
        <f t="shared" si="5"/>
        <v>EF02MA05</v>
      </c>
    </row>
    <row r="19" spans="1:12" x14ac:dyDescent="0.25">
      <c r="A19" t="s">
        <v>123</v>
      </c>
      <c r="B19" t="s">
        <v>69</v>
      </c>
      <c r="D19" t="str">
        <f t="shared" si="0"/>
        <v>MA06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Identificar padrões em sequências numéricas.</v>
      </c>
      <c r="L19" t="str">
        <f t="shared" si="5"/>
        <v>EF02MA06</v>
      </c>
    </row>
    <row r="20" spans="1:12" x14ac:dyDescent="0.25">
      <c r="A20" t="s">
        <v>124</v>
      </c>
      <c r="B20" t="s">
        <v>165</v>
      </c>
      <c r="D20" t="str">
        <f t="shared" si="0"/>
        <v>MA07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Reconhecer figuras geométricas planas.</v>
      </c>
      <c r="L20" t="str">
        <f t="shared" si="5"/>
        <v>EF02MA07</v>
      </c>
    </row>
    <row r="21" spans="1:12" x14ac:dyDescent="0.25">
      <c r="A21" t="s">
        <v>125</v>
      </c>
      <c r="B21" t="s">
        <v>166</v>
      </c>
      <c r="D21" t="str">
        <f t="shared" si="0"/>
        <v>MA08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Descrever localização e movimentação no espaço.</v>
      </c>
      <c r="L21" t="str">
        <f t="shared" si="5"/>
        <v>EF02MA08</v>
      </c>
    </row>
    <row r="22" spans="1:12" x14ac:dyDescent="0.25">
      <c r="A22" t="s">
        <v>126</v>
      </c>
      <c r="B22" t="s">
        <v>72</v>
      </c>
      <c r="D22" t="str">
        <f t="shared" si="0"/>
        <v>MA09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Comparar grandezas como comprimento, massa e capacidade.</v>
      </c>
      <c r="L22" t="str">
        <f t="shared" si="5"/>
        <v>EF02MA09</v>
      </c>
    </row>
    <row r="23" spans="1:12" x14ac:dyDescent="0.25">
      <c r="A23" t="s">
        <v>127</v>
      </c>
      <c r="B23" t="s">
        <v>167</v>
      </c>
      <c r="D23" t="str">
        <f t="shared" si="0"/>
        <v>MA10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Utilizar unidades de medida padronizadas e não padronizadas.</v>
      </c>
      <c r="L23" t="str">
        <f t="shared" si="5"/>
        <v>EF02MA10</v>
      </c>
    </row>
    <row r="24" spans="1:12" x14ac:dyDescent="0.25">
      <c r="A24" t="s">
        <v>128</v>
      </c>
      <c r="B24" t="s">
        <v>168</v>
      </c>
      <c r="D24" t="str">
        <f t="shared" si="0"/>
        <v>MA11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Reconhecer e comparar valores monetários.</v>
      </c>
      <c r="L24" t="str">
        <f t="shared" si="5"/>
        <v>EF02MA11</v>
      </c>
    </row>
    <row r="25" spans="1:12" x14ac:dyDescent="0.25">
      <c r="A25" t="s">
        <v>129</v>
      </c>
      <c r="B25" t="s">
        <v>169</v>
      </c>
      <c r="D25" t="str">
        <f t="shared" si="0"/>
        <v>CI01</v>
      </c>
      <c r="E25" t="s">
        <v>550</v>
      </c>
      <c r="F25" t="s">
        <v>551</v>
      </c>
      <c r="G25" t="str">
        <f t="shared" si="1"/>
        <v>CI</v>
      </c>
      <c r="H25" t="str">
        <f t="shared" si="2"/>
        <v>Ciências</v>
      </c>
      <c r="J25" t="str">
        <f t="shared" si="3"/>
        <v>Ciências</v>
      </c>
      <c r="K25" t="str">
        <f t="shared" si="4"/>
        <v>Identificar propriedades dos materiais e suas transformações.</v>
      </c>
      <c r="L25" t="str">
        <f t="shared" si="5"/>
        <v>EF02CI01</v>
      </c>
    </row>
    <row r="26" spans="1:12" x14ac:dyDescent="0.25">
      <c r="A26" t="s">
        <v>130</v>
      </c>
      <c r="B26" t="s">
        <v>170</v>
      </c>
      <c r="D26" t="str">
        <f t="shared" si="0"/>
        <v>CI02</v>
      </c>
      <c r="E26" t="s">
        <v>550</v>
      </c>
      <c r="F26" t="s">
        <v>551</v>
      </c>
      <c r="G26" t="str">
        <f t="shared" si="1"/>
        <v>CI</v>
      </c>
      <c r="H26" t="str">
        <f t="shared" si="2"/>
        <v>Ciências</v>
      </c>
      <c r="J26" t="str">
        <f t="shared" si="3"/>
        <v>Ciências</v>
      </c>
      <c r="K26" t="str">
        <f t="shared" si="4"/>
        <v>Reconhecer a importância da água e do ar para os seres vivos.</v>
      </c>
      <c r="L26" t="str">
        <f t="shared" si="5"/>
        <v>EF02CI02</v>
      </c>
    </row>
    <row r="27" spans="1:12" x14ac:dyDescent="0.25">
      <c r="A27" t="s">
        <v>131</v>
      </c>
      <c r="B27" t="s">
        <v>171</v>
      </c>
      <c r="D27" t="str">
        <f t="shared" si="0"/>
        <v>CI03</v>
      </c>
      <c r="E27" t="s">
        <v>550</v>
      </c>
      <c r="F27" t="s">
        <v>551</v>
      </c>
      <c r="G27" t="str">
        <f t="shared" si="1"/>
        <v>CI</v>
      </c>
      <c r="H27" t="str">
        <f t="shared" si="2"/>
        <v>Ciências</v>
      </c>
      <c r="J27" t="str">
        <f t="shared" si="3"/>
        <v>Ciências</v>
      </c>
      <c r="K27" t="str">
        <f t="shared" si="4"/>
        <v>Identificar partes das plantas e suas funções.</v>
      </c>
      <c r="L27" t="str">
        <f t="shared" si="5"/>
        <v>EF02CI03</v>
      </c>
    </row>
    <row r="28" spans="1:12" x14ac:dyDescent="0.25">
      <c r="A28" t="s">
        <v>132</v>
      </c>
      <c r="B28" t="s">
        <v>172</v>
      </c>
      <c r="D28" t="str">
        <f t="shared" si="0"/>
        <v>CI04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Reconhecer características dos animais.</v>
      </c>
      <c r="L28" t="str">
        <f t="shared" si="5"/>
        <v>EF02CI04</v>
      </c>
    </row>
    <row r="29" spans="1:12" x14ac:dyDescent="0.25">
      <c r="A29" t="s">
        <v>133</v>
      </c>
      <c r="B29" t="s">
        <v>173</v>
      </c>
      <c r="D29" t="str">
        <f t="shared" si="0"/>
        <v>CI05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Identificar relações entre seres vivos e ambiente.</v>
      </c>
      <c r="L29" t="str">
        <f t="shared" si="5"/>
        <v>EF02CI05</v>
      </c>
    </row>
    <row r="30" spans="1:12" x14ac:dyDescent="0.25">
      <c r="A30" t="s">
        <v>134</v>
      </c>
      <c r="B30" t="s">
        <v>174</v>
      </c>
      <c r="D30" t="str">
        <f t="shared" si="0"/>
        <v>CI06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Reconhecer práticas de cuidado com o meio ambiente.</v>
      </c>
      <c r="L30" t="str">
        <f t="shared" si="5"/>
        <v>EF02CI06</v>
      </c>
    </row>
    <row r="31" spans="1:12" x14ac:dyDescent="0.25">
      <c r="A31" t="s">
        <v>135</v>
      </c>
      <c r="B31" t="s">
        <v>175</v>
      </c>
      <c r="D31" t="str">
        <f t="shared" si="0"/>
        <v>HI01</v>
      </c>
      <c r="E31" t="s">
        <v>550</v>
      </c>
      <c r="F31" t="s">
        <v>551</v>
      </c>
      <c r="G31" t="str">
        <f t="shared" si="1"/>
        <v>HI</v>
      </c>
      <c r="H31" t="str">
        <f t="shared" si="2"/>
        <v>História</v>
      </c>
      <c r="J31" t="str">
        <f t="shared" si="3"/>
        <v>História</v>
      </c>
      <c r="K31" t="str">
        <f t="shared" si="4"/>
        <v>Identificar diferentes formas de organização familiar e social.</v>
      </c>
      <c r="L31" t="str">
        <f t="shared" si="5"/>
        <v>EF02HI01</v>
      </c>
    </row>
    <row r="32" spans="1:12" x14ac:dyDescent="0.25">
      <c r="A32" t="s">
        <v>136</v>
      </c>
      <c r="B32" t="s">
        <v>176</v>
      </c>
      <c r="D32" t="str">
        <f t="shared" si="0"/>
        <v>HI02</v>
      </c>
      <c r="E32" t="s">
        <v>550</v>
      </c>
      <c r="F32" t="s">
        <v>551</v>
      </c>
      <c r="G32" t="str">
        <f t="shared" si="1"/>
        <v>HI</v>
      </c>
      <c r="H32" t="str">
        <f t="shared" si="2"/>
        <v>História</v>
      </c>
      <c r="J32" t="str">
        <f t="shared" si="3"/>
        <v>História</v>
      </c>
      <c r="K32" t="str">
        <f t="shared" si="4"/>
        <v>Reconhecer mudanças e permanências ao longo do tempo.</v>
      </c>
      <c r="L32" t="str">
        <f t="shared" si="5"/>
        <v>EF02HI02</v>
      </c>
    </row>
    <row r="33" spans="1:12" x14ac:dyDescent="0.25">
      <c r="A33" t="s">
        <v>137</v>
      </c>
      <c r="B33" t="s">
        <v>177</v>
      </c>
      <c r="D33" t="str">
        <f t="shared" si="0"/>
        <v>HI03</v>
      </c>
      <c r="E33" t="s">
        <v>550</v>
      </c>
      <c r="F33" t="s">
        <v>551</v>
      </c>
      <c r="G33" t="str">
        <f t="shared" si="1"/>
        <v>HI</v>
      </c>
      <c r="H33" t="str">
        <f t="shared" si="2"/>
        <v>História</v>
      </c>
      <c r="J33" t="str">
        <f t="shared" si="3"/>
        <v>História</v>
      </c>
      <c r="K33" t="str">
        <f t="shared" si="4"/>
        <v>Identificar registros da memória como fotos e relatos.</v>
      </c>
      <c r="L33" t="str">
        <f t="shared" si="5"/>
        <v>EF02HI03</v>
      </c>
    </row>
    <row r="34" spans="1:12" x14ac:dyDescent="0.25">
      <c r="A34" t="s">
        <v>138</v>
      </c>
      <c r="B34" t="s">
        <v>178</v>
      </c>
      <c r="D34" t="str">
        <f t="shared" si="0"/>
        <v>HI04</v>
      </c>
      <c r="E34" t="s">
        <v>550</v>
      </c>
      <c r="F34" t="s">
        <v>551</v>
      </c>
      <c r="G34" t="str">
        <f t="shared" si="1"/>
        <v>HI</v>
      </c>
      <c r="H34" t="str">
        <f t="shared" si="2"/>
        <v>História</v>
      </c>
      <c r="J34" t="str">
        <f t="shared" si="3"/>
        <v>História</v>
      </c>
      <c r="K34" t="str">
        <f t="shared" si="4"/>
        <v>Reconhecer diferentes formas de trabalho.</v>
      </c>
      <c r="L34" t="str">
        <f t="shared" si="5"/>
        <v>EF02HI04</v>
      </c>
    </row>
    <row r="35" spans="1:12" x14ac:dyDescent="0.25">
      <c r="A35" t="s">
        <v>139</v>
      </c>
      <c r="B35" t="s">
        <v>179</v>
      </c>
      <c r="D35" t="str">
        <f t="shared" si="0"/>
        <v>HI05</v>
      </c>
      <c r="E35" t="s">
        <v>550</v>
      </c>
      <c r="F35" t="s">
        <v>551</v>
      </c>
      <c r="G35" t="str">
        <f t="shared" si="1"/>
        <v>HI</v>
      </c>
      <c r="H35" t="str">
        <f t="shared" si="2"/>
        <v>História</v>
      </c>
      <c r="J35" t="str">
        <f t="shared" si="3"/>
        <v>História</v>
      </c>
      <c r="K35" t="str">
        <f t="shared" si="4"/>
        <v>Identificar acontecimentos do cotidiano em diferentes tempos.</v>
      </c>
      <c r="L35" t="str">
        <f t="shared" si="5"/>
        <v>EF02HI05</v>
      </c>
    </row>
    <row r="36" spans="1:12" x14ac:dyDescent="0.25">
      <c r="A36" t="s">
        <v>140</v>
      </c>
      <c r="B36" t="s">
        <v>180</v>
      </c>
      <c r="D36" t="str">
        <f t="shared" si="0"/>
        <v>GE01</v>
      </c>
      <c r="E36" t="s">
        <v>550</v>
      </c>
      <c r="F36" t="s">
        <v>551</v>
      </c>
      <c r="G36" t="str">
        <f t="shared" si="1"/>
        <v>GE</v>
      </c>
      <c r="H36" t="str">
        <f t="shared" si="2"/>
        <v>Geografia</v>
      </c>
      <c r="J36" t="str">
        <f t="shared" si="3"/>
        <v>Geografia</v>
      </c>
      <c r="K36" t="str">
        <f t="shared" si="4"/>
        <v>Descrever características de diferentes lugares.</v>
      </c>
      <c r="L36" t="str">
        <f t="shared" si="5"/>
        <v>EF02GE01</v>
      </c>
    </row>
    <row r="37" spans="1:12" x14ac:dyDescent="0.25">
      <c r="A37" t="s">
        <v>141</v>
      </c>
      <c r="B37" t="s">
        <v>181</v>
      </c>
      <c r="D37" t="str">
        <f t="shared" si="0"/>
        <v>GE02</v>
      </c>
      <c r="E37" t="s">
        <v>550</v>
      </c>
      <c r="F37" t="s">
        <v>551</v>
      </c>
      <c r="G37" t="str">
        <f t="shared" si="1"/>
        <v>GE</v>
      </c>
      <c r="H37" t="str">
        <f t="shared" si="2"/>
        <v>Geografia</v>
      </c>
      <c r="J37" t="str">
        <f t="shared" si="3"/>
        <v>Geografia</v>
      </c>
      <c r="K37" t="str">
        <f t="shared" si="4"/>
        <v>Identificar elementos naturais e construídos nas paisagens.</v>
      </c>
      <c r="L37" t="str">
        <f t="shared" si="5"/>
        <v>EF02GE02</v>
      </c>
    </row>
    <row r="38" spans="1:12" x14ac:dyDescent="0.25">
      <c r="A38" t="s">
        <v>142</v>
      </c>
      <c r="B38" t="s">
        <v>89</v>
      </c>
      <c r="D38" t="str">
        <f t="shared" si="0"/>
        <v>GE03</v>
      </c>
      <c r="E38" t="s">
        <v>550</v>
      </c>
      <c r="F38" t="s">
        <v>551</v>
      </c>
      <c r="G38" t="str">
        <f t="shared" si="1"/>
        <v>GE</v>
      </c>
      <c r="H38" t="str">
        <f t="shared" si="2"/>
        <v>Geografia</v>
      </c>
      <c r="J38" t="str">
        <f t="shared" si="3"/>
        <v>Geografia</v>
      </c>
      <c r="K38" t="str">
        <f t="shared" si="4"/>
        <v>Reconhecer diferentes tipos de moradia.</v>
      </c>
      <c r="L38" t="str">
        <f t="shared" si="5"/>
        <v>EF02GE03</v>
      </c>
    </row>
    <row r="39" spans="1:12" x14ac:dyDescent="0.25">
      <c r="A39" t="s">
        <v>143</v>
      </c>
      <c r="B39" t="s">
        <v>182</v>
      </c>
      <c r="D39" t="str">
        <f t="shared" si="0"/>
        <v>GE04</v>
      </c>
      <c r="E39" t="s">
        <v>550</v>
      </c>
      <c r="F39" t="s">
        <v>551</v>
      </c>
      <c r="G39" t="str">
        <f t="shared" si="1"/>
        <v>GE</v>
      </c>
      <c r="H39" t="str">
        <f t="shared" si="2"/>
        <v>Geografia</v>
      </c>
      <c r="J39" t="str">
        <f t="shared" si="3"/>
        <v>Geografia</v>
      </c>
      <c r="K39" t="str">
        <f t="shared" si="4"/>
        <v>Identificar formas de orientação e localização.</v>
      </c>
      <c r="L39" t="str">
        <f t="shared" si="5"/>
        <v>EF02GE04</v>
      </c>
    </row>
    <row r="40" spans="1:12" x14ac:dyDescent="0.25">
      <c r="A40" t="s">
        <v>144</v>
      </c>
      <c r="B40" t="s">
        <v>183</v>
      </c>
      <c r="D40" t="str">
        <f t="shared" si="0"/>
        <v>GE05</v>
      </c>
      <c r="E40" t="s">
        <v>550</v>
      </c>
      <c r="F40" t="s">
        <v>551</v>
      </c>
      <c r="G40" t="str">
        <f t="shared" si="1"/>
        <v>GE</v>
      </c>
      <c r="H40" t="str">
        <f t="shared" si="2"/>
        <v>Geografia</v>
      </c>
      <c r="J40" t="str">
        <f t="shared" si="3"/>
        <v>Geografia</v>
      </c>
      <c r="K40" t="str">
        <f t="shared" si="4"/>
        <v>Reconhecer relações entre sociedade e natureza.</v>
      </c>
      <c r="L40" t="str">
        <f t="shared" si="5"/>
        <v>EF02GE05</v>
      </c>
    </row>
    <row r="41" spans="1:12" x14ac:dyDescent="0.25">
      <c r="A41" t="s">
        <v>145</v>
      </c>
      <c r="B41" t="s">
        <v>184</v>
      </c>
      <c r="D41" t="str">
        <f t="shared" si="0"/>
        <v>GE06</v>
      </c>
      <c r="E41" t="s">
        <v>550</v>
      </c>
      <c r="F41" t="s">
        <v>551</v>
      </c>
      <c r="G41" t="str">
        <f t="shared" si="1"/>
        <v>GE</v>
      </c>
      <c r="H41" t="str">
        <f t="shared" si="2"/>
        <v>Geografia</v>
      </c>
      <c r="J41" t="str">
        <f t="shared" si="3"/>
        <v>Geografia</v>
      </c>
      <c r="K41" t="str">
        <f t="shared" si="4"/>
        <v>Identificar meios de transporte e comunicação.</v>
      </c>
      <c r="L41" t="str">
        <f t="shared" si="5"/>
        <v>EF02GE06</v>
      </c>
    </row>
    <row r="42" spans="1:12" x14ac:dyDescent="0.25">
      <c r="A42" t="s">
        <v>146</v>
      </c>
      <c r="B42" t="s">
        <v>185</v>
      </c>
      <c r="D42" t="str">
        <f t="shared" si="0"/>
        <v>AR01</v>
      </c>
      <c r="E42" t="s">
        <v>550</v>
      </c>
      <c r="F42" t="s">
        <v>551</v>
      </c>
      <c r="G42" t="str">
        <f t="shared" si="1"/>
        <v>AR</v>
      </c>
      <c r="H42" t="str">
        <f t="shared" si="2"/>
        <v>Arte</v>
      </c>
      <c r="J42" t="str">
        <f t="shared" si="3"/>
        <v>Arte</v>
      </c>
      <c r="K42" t="str">
        <f t="shared" si="4"/>
        <v>Experimentar diferentes linguagens artísticas.</v>
      </c>
      <c r="L42" t="str">
        <f t="shared" si="5"/>
        <v>EF02AR01</v>
      </c>
    </row>
    <row r="43" spans="1:12" x14ac:dyDescent="0.25">
      <c r="A43" t="s">
        <v>147</v>
      </c>
      <c r="B43" t="s">
        <v>186</v>
      </c>
      <c r="D43" t="str">
        <f t="shared" si="0"/>
        <v>AR02</v>
      </c>
      <c r="E43" t="s">
        <v>550</v>
      </c>
      <c r="F43" t="s">
        <v>551</v>
      </c>
      <c r="G43" t="str">
        <f t="shared" si="1"/>
        <v>AR</v>
      </c>
      <c r="H43" t="str">
        <f t="shared" si="2"/>
        <v>Arte</v>
      </c>
      <c r="J43" t="str">
        <f t="shared" si="3"/>
        <v>Arte</v>
      </c>
      <c r="K43" t="str">
        <f t="shared" si="4"/>
        <v>Explorar materiais e técnicas na produção artística.</v>
      </c>
      <c r="L43" t="str">
        <f t="shared" si="5"/>
        <v>EF02AR02</v>
      </c>
    </row>
    <row r="44" spans="1:12" x14ac:dyDescent="0.25">
      <c r="A44" t="s">
        <v>148</v>
      </c>
      <c r="B44" t="s">
        <v>95</v>
      </c>
      <c r="D44" t="str">
        <f t="shared" si="0"/>
        <v>AR03</v>
      </c>
      <c r="E44" t="s">
        <v>550</v>
      </c>
      <c r="F44" t="s">
        <v>551</v>
      </c>
      <c r="G44" t="str">
        <f t="shared" si="1"/>
        <v>AR</v>
      </c>
      <c r="H44" t="str">
        <f t="shared" si="2"/>
        <v>Arte</v>
      </c>
      <c r="J44" t="str">
        <f t="shared" si="3"/>
        <v>Arte</v>
      </c>
      <c r="K44" t="str">
        <f t="shared" si="4"/>
        <v>Reconhecer elementos das artes visuais, música e dança.</v>
      </c>
      <c r="L44" t="str">
        <f t="shared" si="5"/>
        <v>EF02AR03</v>
      </c>
    </row>
    <row r="45" spans="1:12" x14ac:dyDescent="0.25">
      <c r="A45" t="s">
        <v>149</v>
      </c>
      <c r="B45" t="s">
        <v>96</v>
      </c>
      <c r="D45" t="str">
        <f t="shared" si="0"/>
        <v>AR04</v>
      </c>
      <c r="E45" t="s">
        <v>550</v>
      </c>
      <c r="F45" t="s">
        <v>551</v>
      </c>
      <c r="G45" t="str">
        <f t="shared" si="1"/>
        <v>AR</v>
      </c>
      <c r="H45" t="str">
        <f t="shared" si="2"/>
        <v>Arte</v>
      </c>
      <c r="J45" t="str">
        <f t="shared" si="3"/>
        <v>Arte</v>
      </c>
      <c r="K45" t="str">
        <f t="shared" si="4"/>
        <v>Expressar ideias e sentimentos por meio da arte.</v>
      </c>
      <c r="L45" t="str">
        <f t="shared" si="5"/>
        <v>EF02AR04</v>
      </c>
    </row>
    <row r="46" spans="1:12" x14ac:dyDescent="0.25">
      <c r="A46" t="s">
        <v>150</v>
      </c>
      <c r="B46" t="s">
        <v>97</v>
      </c>
      <c r="D46" t="str">
        <f t="shared" si="0"/>
        <v>EF01</v>
      </c>
      <c r="E46" t="s">
        <v>550</v>
      </c>
      <c r="F46" t="s">
        <v>551</v>
      </c>
      <c r="G46" t="str">
        <f t="shared" si="1"/>
        <v>EF</v>
      </c>
      <c r="H46" t="str">
        <f t="shared" si="2"/>
        <v>Educação Física</v>
      </c>
      <c r="J46" t="str">
        <f t="shared" si="3"/>
        <v>Educação Física</v>
      </c>
      <c r="K46" t="str">
        <f t="shared" si="4"/>
        <v>Participar de jogos e brincadeiras respeitando regras.</v>
      </c>
      <c r="L46" t="str">
        <f t="shared" si="5"/>
        <v>EF02EF01</v>
      </c>
    </row>
    <row r="47" spans="1:12" x14ac:dyDescent="0.25">
      <c r="A47" t="s">
        <v>151</v>
      </c>
      <c r="B47" t="s">
        <v>187</v>
      </c>
      <c r="D47" t="str">
        <f t="shared" si="0"/>
        <v>EF02</v>
      </c>
      <c r="E47" t="s">
        <v>550</v>
      </c>
      <c r="F47" t="s">
        <v>551</v>
      </c>
      <c r="G47" t="str">
        <f t="shared" si="1"/>
        <v>EF</v>
      </c>
      <c r="H47" t="str">
        <f t="shared" si="2"/>
        <v>Educação Física</v>
      </c>
      <c r="J47" t="str">
        <f t="shared" si="3"/>
        <v>Educação Física</v>
      </c>
      <c r="K47" t="str">
        <f t="shared" si="4"/>
        <v>Experimentar movimentos corporais em diferentes práticas.</v>
      </c>
      <c r="L47" t="str">
        <f t="shared" si="5"/>
        <v>EF02EF02</v>
      </c>
    </row>
    <row r="48" spans="1:12" x14ac:dyDescent="0.25">
      <c r="A48" t="s">
        <v>152</v>
      </c>
      <c r="B48" t="s">
        <v>188</v>
      </c>
      <c r="D48" t="str">
        <f t="shared" si="0"/>
        <v>EF03</v>
      </c>
      <c r="E48" t="s">
        <v>550</v>
      </c>
      <c r="F48" t="s">
        <v>551</v>
      </c>
      <c r="G48" t="str">
        <f t="shared" si="1"/>
        <v>EF</v>
      </c>
      <c r="H48" t="str">
        <f t="shared" si="2"/>
        <v>Educação Física</v>
      </c>
      <c r="J48" t="str">
        <f t="shared" si="3"/>
        <v>Educação Física</v>
      </c>
      <c r="K48" t="str">
        <f t="shared" si="4"/>
        <v>Desenvolver habilidades motoras básicas.</v>
      </c>
      <c r="L48" t="str">
        <f t="shared" si="5"/>
        <v>EF02EF03</v>
      </c>
    </row>
    <row r="49" spans="1:12" x14ac:dyDescent="0.25">
      <c r="A49" t="s">
        <v>153</v>
      </c>
      <c r="B49" t="s">
        <v>189</v>
      </c>
      <c r="D49" t="str">
        <f t="shared" si="0"/>
        <v>EF04</v>
      </c>
      <c r="E49" t="s">
        <v>550</v>
      </c>
      <c r="F49" t="s">
        <v>551</v>
      </c>
      <c r="G49" t="str">
        <f t="shared" si="1"/>
        <v>EF</v>
      </c>
      <c r="H49" t="str">
        <f t="shared" si="2"/>
        <v>Educação Física</v>
      </c>
      <c r="J49" t="str">
        <f t="shared" si="3"/>
        <v>Educação Física</v>
      </c>
      <c r="K49" t="str">
        <f t="shared" si="4"/>
        <v>Valorizar a cooperação nas atividades físicas.</v>
      </c>
      <c r="L49" t="str">
        <f t="shared" si="5"/>
        <v>EF02EF04</v>
      </c>
    </row>
    <row r="50" spans="1:12" x14ac:dyDescent="0.25">
      <c r="D50" t="str">
        <f t="shared" si="0"/>
        <v/>
      </c>
      <c r="E50" t="s">
        <v>550</v>
      </c>
      <c r="F50" t="s">
        <v>551</v>
      </c>
      <c r="G50" t="str">
        <f t="shared" si="1"/>
        <v/>
      </c>
      <c r="H50" t="e">
        <f t="shared" si="2"/>
        <v>#N/A</v>
      </c>
      <c r="J50" t="e">
        <f t="shared" si="3"/>
        <v>#N/A</v>
      </c>
      <c r="K50">
        <f t="shared" si="4"/>
        <v>0</v>
      </c>
      <c r="L50">
        <f t="shared" si="5"/>
        <v>0</v>
      </c>
    </row>
    <row r="51" spans="1:12" x14ac:dyDescent="0.25">
      <c r="D51" t="str">
        <f t="shared" si="0"/>
        <v/>
      </c>
      <c r="E51" t="s">
        <v>550</v>
      </c>
      <c r="F51" t="s">
        <v>551</v>
      </c>
      <c r="G51" t="str">
        <f t="shared" si="1"/>
        <v/>
      </c>
      <c r="H51" t="e">
        <f t="shared" si="2"/>
        <v>#N/A</v>
      </c>
      <c r="J51" t="e">
        <f t="shared" si="3"/>
        <v>#N/A</v>
      </c>
      <c r="K51">
        <f t="shared" si="4"/>
        <v>0</v>
      </c>
      <c r="L51">
        <f t="shared" si="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2DB5-433D-4BF3-9F81-AFB26E704B91}">
  <dimension ref="A1:O56"/>
  <sheetViews>
    <sheetView topLeftCell="A15" workbookViewId="0">
      <selection activeCell="J2" sqref="J2:L51"/>
    </sheetView>
  </sheetViews>
  <sheetFormatPr defaultRowHeight="15" x14ac:dyDescent="0.25"/>
  <cols>
    <col min="2" max="2" width="72.2851562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0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227</v>
      </c>
      <c r="B2" t="s">
        <v>276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Ler e escrever palavras com correspondências regulares entre grafemas e fonemas.</v>
      </c>
      <c r="L2" t="str">
        <f>A2</f>
        <v>EF03LP01</v>
      </c>
    </row>
    <row r="3" spans="1:15" x14ac:dyDescent="0.25">
      <c r="A3" t="s">
        <v>228</v>
      </c>
      <c r="B3" t="s">
        <v>277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Ler e escrever palavras com correspondências irregulares mais frequentes na língua.</v>
      </c>
      <c r="L3" t="str">
        <f t="shared" ref="L3:L51" si="5">A3</f>
        <v>EF03LP02</v>
      </c>
    </row>
    <row r="4" spans="1:15" x14ac:dyDescent="0.25">
      <c r="A4" t="s">
        <v>229</v>
      </c>
      <c r="B4" t="s">
        <v>191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Ler e compreender textos de diferentes gêneros, com autonomia.</v>
      </c>
      <c r="L4" t="str">
        <f t="shared" si="5"/>
        <v>EF03LP03</v>
      </c>
    </row>
    <row r="5" spans="1:15" x14ac:dyDescent="0.25">
      <c r="A5" t="s">
        <v>230</v>
      </c>
      <c r="B5" t="s">
        <v>192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Inferir informações implícitas em textos.</v>
      </c>
      <c r="L5" t="str">
        <f t="shared" si="5"/>
        <v>EF03LP04</v>
      </c>
    </row>
    <row r="6" spans="1:15" x14ac:dyDescent="0.25">
      <c r="A6" t="s">
        <v>231</v>
      </c>
      <c r="B6" t="s">
        <v>193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Identificar a ideia central de textos.</v>
      </c>
      <c r="L6" t="str">
        <f t="shared" si="5"/>
        <v>EF03LP05</v>
      </c>
      <c r="N6" t="s">
        <v>552</v>
      </c>
      <c r="O6" t="s">
        <v>553</v>
      </c>
    </row>
    <row r="7" spans="1:15" x14ac:dyDescent="0.25">
      <c r="A7" t="s">
        <v>232</v>
      </c>
      <c r="B7" t="s">
        <v>194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Reconhecer a função social de diferentes gêneros textuais.</v>
      </c>
      <c r="L7" t="str">
        <f t="shared" si="5"/>
        <v>EF03LP06</v>
      </c>
      <c r="N7" t="s">
        <v>104</v>
      </c>
      <c r="O7" t="s">
        <v>105</v>
      </c>
    </row>
    <row r="8" spans="1:15" x14ac:dyDescent="0.25">
      <c r="A8" t="s">
        <v>233</v>
      </c>
      <c r="B8" t="s">
        <v>278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Planejar e produzir textos de diferentes gêneros, considerando a situação comunicativa.</v>
      </c>
      <c r="L8" t="str">
        <f t="shared" si="5"/>
        <v>EF03LP07</v>
      </c>
      <c r="N8" t="s">
        <v>554</v>
      </c>
      <c r="O8" t="s">
        <v>555</v>
      </c>
    </row>
    <row r="9" spans="1:15" x14ac:dyDescent="0.25">
      <c r="A9" t="s">
        <v>234</v>
      </c>
      <c r="B9" t="s">
        <v>195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Revisar textos com apoio do professor e colegas.</v>
      </c>
      <c r="L9" t="str">
        <f t="shared" si="5"/>
        <v>EF03LP08</v>
      </c>
      <c r="N9" t="s">
        <v>556</v>
      </c>
      <c r="O9" t="s">
        <v>557</v>
      </c>
    </row>
    <row r="10" spans="1:15" x14ac:dyDescent="0.25">
      <c r="A10" t="s">
        <v>235</v>
      </c>
      <c r="B10" t="s">
        <v>279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Utilizar pontuação básica (ponto final, interrogação e exclamação).</v>
      </c>
      <c r="L10" t="str">
        <f t="shared" si="5"/>
        <v>EF03LP09</v>
      </c>
      <c r="N10" t="s">
        <v>558</v>
      </c>
      <c r="O10" t="s">
        <v>559</v>
      </c>
    </row>
    <row r="11" spans="1:15" x14ac:dyDescent="0.25">
      <c r="A11" t="s">
        <v>236</v>
      </c>
      <c r="B11" t="s">
        <v>280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Reconhecer e utilizar letras maiúsculas e minúsculas corretamente.</v>
      </c>
      <c r="L11" t="str">
        <f t="shared" si="5"/>
        <v>EF03LP10</v>
      </c>
      <c r="N11" t="s">
        <v>560</v>
      </c>
      <c r="O11" t="s">
        <v>561</v>
      </c>
    </row>
    <row r="12" spans="1:15" x14ac:dyDescent="0.25">
      <c r="A12" t="s">
        <v>237</v>
      </c>
      <c r="B12" t="s">
        <v>196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Identificar elementos narrativos (personagens, tempo, espaço).</v>
      </c>
      <c r="L12" t="str">
        <f t="shared" si="5"/>
        <v>EF03LP11</v>
      </c>
      <c r="N12" t="s">
        <v>103</v>
      </c>
      <c r="O12" t="s">
        <v>562</v>
      </c>
    </row>
    <row r="13" spans="1:15" x14ac:dyDescent="0.25">
      <c r="A13" t="s">
        <v>238</v>
      </c>
      <c r="B13" t="s">
        <v>281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Recontar histórias ouvidas ou lidas, mantendo a sequência lógica.</v>
      </c>
      <c r="L13" t="str">
        <f t="shared" si="5"/>
        <v>EF03LP12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239</v>
      </c>
      <c r="B15" t="s">
        <v>282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Ler, escrever e comparar números naturais até a ordem de milhar.</v>
      </c>
      <c r="L15" t="str">
        <f t="shared" si="5"/>
        <v>EF03MA01</v>
      </c>
    </row>
    <row r="16" spans="1:15" x14ac:dyDescent="0.25">
      <c r="A16" t="s">
        <v>240</v>
      </c>
      <c r="B16" t="s">
        <v>66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Compor e decompor números naturais.</v>
      </c>
      <c r="L16" t="str">
        <f t="shared" si="5"/>
        <v>EF03MA02</v>
      </c>
    </row>
    <row r="17" spans="1:12" x14ac:dyDescent="0.25">
      <c r="A17" t="s">
        <v>241</v>
      </c>
      <c r="B17" t="s">
        <v>197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e elaborar problemas de adição e subtração.</v>
      </c>
      <c r="L17" t="str">
        <f t="shared" si="5"/>
        <v>EF03MA03</v>
      </c>
    </row>
    <row r="18" spans="1:12" x14ac:dyDescent="0.25">
      <c r="A18" t="s">
        <v>242</v>
      </c>
      <c r="B18" t="s">
        <v>198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Resolver problemas de multiplicação.</v>
      </c>
      <c r="L18" t="str">
        <f t="shared" si="5"/>
        <v>EF03MA04</v>
      </c>
    </row>
    <row r="19" spans="1:12" x14ac:dyDescent="0.25">
      <c r="A19" t="s">
        <v>243</v>
      </c>
      <c r="B19" t="s">
        <v>199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Resolver problemas de divisão simples.</v>
      </c>
      <c r="L19" t="str">
        <f t="shared" si="5"/>
        <v>EF03MA05</v>
      </c>
    </row>
    <row r="20" spans="1:12" x14ac:dyDescent="0.25">
      <c r="A20" t="s">
        <v>244</v>
      </c>
      <c r="B20" t="s">
        <v>200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Identificar regularidades em sequências numéricas.</v>
      </c>
      <c r="L20" t="str">
        <f t="shared" si="5"/>
        <v>EF03MA06</v>
      </c>
    </row>
    <row r="21" spans="1:12" x14ac:dyDescent="0.25">
      <c r="A21" t="s">
        <v>245</v>
      </c>
      <c r="B21" t="s">
        <v>201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Reconhecer e comparar figuras geométricas planas.</v>
      </c>
      <c r="L21" t="str">
        <f t="shared" si="5"/>
        <v>EF03MA07</v>
      </c>
    </row>
    <row r="22" spans="1:12" x14ac:dyDescent="0.25">
      <c r="A22" t="s">
        <v>246</v>
      </c>
      <c r="B22" t="s">
        <v>202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Identificar simetria em figuras.</v>
      </c>
      <c r="L22" t="str">
        <f t="shared" si="5"/>
        <v>EF03MA08</v>
      </c>
    </row>
    <row r="23" spans="1:12" x14ac:dyDescent="0.25">
      <c r="A23" t="s">
        <v>247</v>
      </c>
      <c r="B23" t="s">
        <v>283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Medir comprimentos utilizando unidades padronizadas e não padronizadas.</v>
      </c>
      <c r="L23" t="str">
        <f t="shared" si="5"/>
        <v>EF03MA09</v>
      </c>
    </row>
    <row r="24" spans="1:12" x14ac:dyDescent="0.25">
      <c r="A24" t="s">
        <v>248</v>
      </c>
      <c r="B24" t="s">
        <v>203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Resolver problemas envolvendo medidas de tempo.</v>
      </c>
      <c r="L24" t="str">
        <f t="shared" si="5"/>
        <v>EF03MA10</v>
      </c>
    </row>
    <row r="25" spans="1:12" x14ac:dyDescent="0.25">
      <c r="A25" t="s">
        <v>249</v>
      </c>
      <c r="B25" t="s">
        <v>204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Coletar e organizar dados em tabelas e gráficos simples.</v>
      </c>
      <c r="L25" t="str">
        <f t="shared" si="5"/>
        <v>EF03MA11</v>
      </c>
    </row>
    <row r="26" spans="1:12" x14ac:dyDescent="0.25">
      <c r="A26" t="s">
        <v>250</v>
      </c>
      <c r="B26" t="s">
        <v>205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Interpretar dados apresentados em gráficos e tabelas.</v>
      </c>
      <c r="L26" t="str">
        <f t="shared" si="5"/>
        <v>EF03MA12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251</v>
      </c>
      <c r="B28" t="s">
        <v>79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Identificar características dos seres vivos.</v>
      </c>
      <c r="L28" t="str">
        <f t="shared" si="5"/>
        <v>EF03CI01</v>
      </c>
    </row>
    <row r="29" spans="1:12" x14ac:dyDescent="0.25">
      <c r="A29" t="s">
        <v>252</v>
      </c>
      <c r="B29" t="s">
        <v>206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Comparar animais quanto à alimentação e habitat.</v>
      </c>
      <c r="L29" t="str">
        <f t="shared" si="5"/>
        <v>EF03CI02</v>
      </c>
    </row>
    <row r="30" spans="1:12" x14ac:dyDescent="0.25">
      <c r="A30" t="s">
        <v>253</v>
      </c>
      <c r="B30" t="s">
        <v>207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Reconhecer partes das plantas e suas funções.</v>
      </c>
      <c r="L30" t="str">
        <f t="shared" si="5"/>
        <v>EF03CI03</v>
      </c>
    </row>
    <row r="31" spans="1:12" x14ac:dyDescent="0.25">
      <c r="A31" t="s">
        <v>254</v>
      </c>
      <c r="B31" t="s">
        <v>208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Identificar formas de uso da água no cotidiano.</v>
      </c>
      <c r="L31" t="str">
        <f t="shared" si="5"/>
        <v>EF03CI04</v>
      </c>
    </row>
    <row r="32" spans="1:12" x14ac:dyDescent="0.25">
      <c r="A32" t="s">
        <v>255</v>
      </c>
      <c r="B32" t="s">
        <v>209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Reconhecer a importância da preservação ambiental.</v>
      </c>
      <c r="L32" t="str">
        <f t="shared" si="5"/>
        <v>EF03CI05</v>
      </c>
    </row>
    <row r="33" spans="1:12" x14ac:dyDescent="0.25">
      <c r="A33" t="s">
        <v>256</v>
      </c>
      <c r="B33" t="s">
        <v>210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Identificar diferentes estados físicos da matéria.</v>
      </c>
      <c r="L33" t="str">
        <f t="shared" si="5"/>
        <v>EF03CI06</v>
      </c>
    </row>
    <row r="34" spans="1:12" x14ac:dyDescent="0.25">
      <c r="A34" t="s">
        <v>257</v>
      </c>
      <c r="B34" t="s">
        <v>211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Reconhecer fontes de energia no cotidiano.</v>
      </c>
      <c r="L34" t="str">
        <f t="shared" si="5"/>
        <v>EF03CI07</v>
      </c>
    </row>
    <row r="35" spans="1:12" x14ac:dyDescent="0.25">
      <c r="D35" t="str">
        <f t="shared" si="0"/>
        <v/>
      </c>
      <c r="E35" t="s">
        <v>550</v>
      </c>
      <c r="F35" t="s">
        <v>551</v>
      </c>
      <c r="G35" t="str">
        <f t="shared" si="1"/>
        <v/>
      </c>
      <c r="H35" t="e">
        <f t="shared" si="2"/>
        <v>#N/A</v>
      </c>
      <c r="J35" t="e">
        <f t="shared" si="3"/>
        <v>#N/A</v>
      </c>
      <c r="K35">
        <f t="shared" si="4"/>
        <v>0</v>
      </c>
      <c r="L35">
        <f t="shared" si="5"/>
        <v>0</v>
      </c>
    </row>
    <row r="36" spans="1:12" x14ac:dyDescent="0.25">
      <c r="A36" t="s">
        <v>258</v>
      </c>
      <c r="B36" t="s">
        <v>84</v>
      </c>
      <c r="D36" t="str">
        <f t="shared" si="0"/>
        <v>HI01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Identificar mudanças e permanências ao longo do tempo.</v>
      </c>
      <c r="L36" t="str">
        <f t="shared" si="5"/>
        <v>EF03HI01</v>
      </c>
    </row>
    <row r="37" spans="1:12" x14ac:dyDescent="0.25">
      <c r="A37" t="s">
        <v>259</v>
      </c>
      <c r="B37" t="s">
        <v>212</v>
      </c>
      <c r="D37" t="str">
        <f t="shared" si="0"/>
        <v>HI02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Reconhecer diferentes grupos sociais na comunidade.</v>
      </c>
      <c r="L37" t="str">
        <f t="shared" si="5"/>
        <v>EF03HI02</v>
      </c>
    </row>
    <row r="38" spans="1:12" x14ac:dyDescent="0.25">
      <c r="A38" t="s">
        <v>260</v>
      </c>
      <c r="B38" t="s">
        <v>213</v>
      </c>
      <c r="D38" t="str">
        <f t="shared" si="0"/>
        <v>HI03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Identificar tradições culturais locais.</v>
      </c>
      <c r="L38" t="str">
        <f t="shared" si="5"/>
        <v>EF03HI03</v>
      </c>
    </row>
    <row r="39" spans="1:12" x14ac:dyDescent="0.25">
      <c r="A39" t="s">
        <v>261</v>
      </c>
      <c r="B39" t="s">
        <v>214</v>
      </c>
      <c r="D39" t="str">
        <f t="shared" si="0"/>
        <v>HI04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Compreender noções de passado, presente e futuro.</v>
      </c>
      <c r="L39" t="str">
        <f t="shared" si="5"/>
        <v>EF03HI04</v>
      </c>
    </row>
    <row r="40" spans="1:12" x14ac:dyDescent="0.25">
      <c r="A40" t="s">
        <v>262</v>
      </c>
      <c r="B40" t="s">
        <v>215</v>
      </c>
      <c r="D40" t="str">
        <f t="shared" si="0"/>
        <v>HI05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Valorizar a diversidade cultural.</v>
      </c>
      <c r="L40" t="str">
        <f t="shared" si="5"/>
        <v>EF03HI05</v>
      </c>
    </row>
    <row r="41" spans="1:12" x14ac:dyDescent="0.25">
      <c r="D41" t="str">
        <f t="shared" si="0"/>
        <v/>
      </c>
      <c r="E41" t="s">
        <v>550</v>
      </c>
      <c r="F41" t="s">
        <v>551</v>
      </c>
      <c r="G41" t="str">
        <f t="shared" si="1"/>
        <v/>
      </c>
      <c r="H41" t="e">
        <f t="shared" si="2"/>
        <v>#N/A</v>
      </c>
      <c r="J41" t="e">
        <f t="shared" si="3"/>
        <v>#N/A</v>
      </c>
      <c r="K41">
        <f t="shared" si="4"/>
        <v>0</v>
      </c>
      <c r="L41">
        <f t="shared" si="5"/>
        <v>0</v>
      </c>
    </row>
    <row r="42" spans="1:12" x14ac:dyDescent="0.25">
      <c r="A42" t="s">
        <v>263</v>
      </c>
      <c r="B42" t="s">
        <v>216</v>
      </c>
      <c r="D42" t="str">
        <f t="shared" si="0"/>
        <v>GE01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Identificar características do lugar onde vive.</v>
      </c>
      <c r="L42" t="str">
        <f t="shared" si="5"/>
        <v>EF03GE01</v>
      </c>
    </row>
    <row r="43" spans="1:12" x14ac:dyDescent="0.25">
      <c r="A43" t="s">
        <v>264</v>
      </c>
      <c r="B43" t="s">
        <v>217</v>
      </c>
      <c r="D43" t="str">
        <f t="shared" si="0"/>
        <v>GE02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Reconhecer diferentes paisagens naturais e modificadas.</v>
      </c>
      <c r="L43" t="str">
        <f t="shared" si="5"/>
        <v>EF03GE02</v>
      </c>
    </row>
    <row r="44" spans="1:12" x14ac:dyDescent="0.25">
      <c r="A44" t="s">
        <v>265</v>
      </c>
      <c r="B44" t="s">
        <v>218</v>
      </c>
      <c r="D44" t="str">
        <f t="shared" si="0"/>
        <v>GE03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Identificar formas de representação do espaço (mapas simples).</v>
      </c>
      <c r="L44" t="str">
        <f t="shared" si="5"/>
        <v>EF03GE03</v>
      </c>
    </row>
    <row r="45" spans="1:12" x14ac:dyDescent="0.25">
      <c r="A45" t="s">
        <v>266</v>
      </c>
      <c r="B45" t="s">
        <v>219</v>
      </c>
      <c r="D45" t="str">
        <f t="shared" si="0"/>
        <v>GE04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Reconhecer atividades econômicas locais.</v>
      </c>
      <c r="L45" t="str">
        <f t="shared" si="5"/>
        <v>EF03GE04</v>
      </c>
    </row>
    <row r="46" spans="1:12" x14ac:dyDescent="0.25">
      <c r="A46" t="s">
        <v>267</v>
      </c>
      <c r="B46" t="s">
        <v>220</v>
      </c>
      <c r="D46" t="str">
        <f t="shared" si="0"/>
        <v>GE05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Identificar elementos naturais e culturais do espaço.</v>
      </c>
      <c r="L46" t="str">
        <f t="shared" si="5"/>
        <v>EF03GE05</v>
      </c>
    </row>
    <row r="47" spans="1:12" x14ac:dyDescent="0.25">
      <c r="D47" t="str">
        <f t="shared" si="0"/>
        <v/>
      </c>
      <c r="E47" t="s">
        <v>550</v>
      </c>
      <c r="F47" t="s">
        <v>551</v>
      </c>
      <c r="G47" t="str">
        <f t="shared" si="1"/>
        <v/>
      </c>
      <c r="H47" t="e">
        <f t="shared" si="2"/>
        <v>#N/A</v>
      </c>
      <c r="J47" t="e">
        <f t="shared" si="3"/>
        <v>#N/A</v>
      </c>
      <c r="K47">
        <f t="shared" si="4"/>
        <v>0</v>
      </c>
      <c r="L47">
        <f t="shared" si="5"/>
        <v>0</v>
      </c>
    </row>
    <row r="48" spans="1:12" x14ac:dyDescent="0.25">
      <c r="A48" t="s">
        <v>268</v>
      </c>
      <c r="B48" t="s">
        <v>93</v>
      </c>
      <c r="D48" t="str">
        <f t="shared" si="0"/>
        <v>AR01</v>
      </c>
      <c r="E48" t="s">
        <v>550</v>
      </c>
      <c r="F48" t="s">
        <v>551</v>
      </c>
      <c r="G48" t="str">
        <f t="shared" si="1"/>
        <v>AR</v>
      </c>
      <c r="H48" t="str">
        <f t="shared" si="2"/>
        <v>Arte</v>
      </c>
      <c r="J48" t="str">
        <f t="shared" si="3"/>
        <v>Arte</v>
      </c>
      <c r="K48" t="str">
        <f t="shared" si="4"/>
        <v>Experimentar diferentes formas de expressão artística.</v>
      </c>
      <c r="L48" t="str">
        <f t="shared" si="5"/>
        <v>EF03AR01</v>
      </c>
    </row>
    <row r="49" spans="1:12" x14ac:dyDescent="0.25">
      <c r="A49" t="s">
        <v>269</v>
      </c>
      <c r="B49" t="s">
        <v>221</v>
      </c>
      <c r="D49" t="str">
        <f t="shared" si="0"/>
        <v>AR02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Reconhecer elementos das artes visuais.</v>
      </c>
      <c r="L49" t="str">
        <f t="shared" si="5"/>
        <v>EF03AR02</v>
      </c>
    </row>
    <row r="50" spans="1:12" x14ac:dyDescent="0.25">
      <c r="A50" t="s">
        <v>270</v>
      </c>
      <c r="B50" t="s">
        <v>222</v>
      </c>
      <c r="D50" t="str">
        <f t="shared" si="0"/>
        <v>AR03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Explorar sons e ritmos.</v>
      </c>
      <c r="L50" t="str">
        <f t="shared" si="5"/>
        <v>EF03AR03</v>
      </c>
    </row>
    <row r="51" spans="1:12" x14ac:dyDescent="0.25">
      <c r="A51" t="s">
        <v>271</v>
      </c>
      <c r="B51" t="s">
        <v>223</v>
      </c>
      <c r="D51" t="str">
        <f t="shared" si="0"/>
        <v>AR04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Participar de atividades de dança e expressão corporal.</v>
      </c>
      <c r="L51" t="str">
        <f t="shared" si="5"/>
        <v>EF03AR04</v>
      </c>
    </row>
    <row r="53" spans="1:12" x14ac:dyDescent="0.25">
      <c r="A53" t="s">
        <v>272</v>
      </c>
      <c r="B53" t="s">
        <v>224</v>
      </c>
    </row>
    <row r="54" spans="1:12" x14ac:dyDescent="0.25">
      <c r="A54" t="s">
        <v>273</v>
      </c>
      <c r="B54" t="s">
        <v>188</v>
      </c>
    </row>
    <row r="55" spans="1:12" x14ac:dyDescent="0.25">
      <c r="A55" t="s">
        <v>274</v>
      </c>
      <c r="B55" t="s">
        <v>225</v>
      </c>
    </row>
    <row r="56" spans="1:12" x14ac:dyDescent="0.25">
      <c r="A56" t="s">
        <v>275</v>
      </c>
      <c r="B56" t="s">
        <v>226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E113-E0E0-4A9D-9978-290114DBCD36}">
  <dimension ref="A1:O51"/>
  <sheetViews>
    <sheetView topLeftCell="A15" workbookViewId="0">
      <selection activeCell="J2" sqref="J2:L51"/>
    </sheetView>
  </sheetViews>
  <sheetFormatPr defaultRowHeight="15" x14ac:dyDescent="0.25"/>
  <cols>
    <col min="1" max="1" width="9.7109375" bestFit="1" customWidth="1"/>
    <col min="2" max="2" width="70.14062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0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284</v>
      </c>
      <c r="B2" t="s">
        <v>333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Ler e compreender textos de diferentes gêneros com maior autonomia.</v>
      </c>
      <c r="L2" t="str">
        <f>A2</f>
        <v>EF04LP01</v>
      </c>
    </row>
    <row r="3" spans="1:15" x14ac:dyDescent="0.25">
      <c r="A3" t="s">
        <v>285</v>
      </c>
      <c r="B3" t="s">
        <v>54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Localizar informações explícitas em textos.</v>
      </c>
      <c r="L3" t="str">
        <f t="shared" ref="L3:L51" si="5">A3</f>
        <v>EF04LP02</v>
      </c>
    </row>
    <row r="4" spans="1:15" x14ac:dyDescent="0.25">
      <c r="A4" t="s">
        <v>286</v>
      </c>
      <c r="B4" t="s">
        <v>192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em textos.</v>
      </c>
      <c r="L4" t="str">
        <f t="shared" si="5"/>
        <v>EF04LP03</v>
      </c>
    </row>
    <row r="5" spans="1:15" x14ac:dyDescent="0.25">
      <c r="A5" t="s">
        <v>287</v>
      </c>
      <c r="B5" t="s">
        <v>193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Identificar a ideia central de textos.</v>
      </c>
      <c r="L5" t="str">
        <f t="shared" si="5"/>
        <v>EF04LP04</v>
      </c>
    </row>
    <row r="6" spans="1:15" x14ac:dyDescent="0.25">
      <c r="A6" t="s">
        <v>288</v>
      </c>
      <c r="B6" t="s">
        <v>334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Reconhecer a finalidade de diferentes gêneros textuais.</v>
      </c>
      <c r="L6" t="str">
        <f t="shared" si="5"/>
        <v>EF04LP05</v>
      </c>
      <c r="N6" t="s">
        <v>552</v>
      </c>
      <c r="O6" t="s">
        <v>553</v>
      </c>
    </row>
    <row r="7" spans="1:15" x14ac:dyDescent="0.25">
      <c r="A7" t="s">
        <v>289</v>
      </c>
      <c r="B7" t="s">
        <v>335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Planejar e produzir textos considerando a situação comunicativa.</v>
      </c>
      <c r="L7" t="str">
        <f t="shared" si="5"/>
        <v>EF04LP06</v>
      </c>
      <c r="N7" t="s">
        <v>104</v>
      </c>
      <c r="O7" t="s">
        <v>105</v>
      </c>
    </row>
    <row r="8" spans="1:15" x14ac:dyDescent="0.25">
      <c r="A8" t="s">
        <v>290</v>
      </c>
      <c r="B8" t="s">
        <v>336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Revisar textos quanto à ortografia e pontuação.</v>
      </c>
      <c r="L8" t="str">
        <f t="shared" si="5"/>
        <v>EF04LP07</v>
      </c>
      <c r="N8" t="s">
        <v>554</v>
      </c>
      <c r="O8" t="s">
        <v>555</v>
      </c>
    </row>
    <row r="9" spans="1:15" x14ac:dyDescent="0.25">
      <c r="A9" t="s">
        <v>291</v>
      </c>
      <c r="B9" t="s">
        <v>337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Utilizar pontuação em diálogos (travessão).</v>
      </c>
      <c r="L9" t="str">
        <f t="shared" si="5"/>
        <v>EF04LP08</v>
      </c>
      <c r="N9" t="s">
        <v>556</v>
      </c>
      <c r="O9" t="s">
        <v>557</v>
      </c>
    </row>
    <row r="10" spans="1:15" x14ac:dyDescent="0.25">
      <c r="A10" t="s">
        <v>292</v>
      </c>
      <c r="B10" t="s">
        <v>338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Empregar corretamente letras maiúsculas e minúsculas.</v>
      </c>
      <c r="L10" t="str">
        <f t="shared" si="5"/>
        <v>EF04LP09</v>
      </c>
      <c r="N10" t="s">
        <v>558</v>
      </c>
      <c r="O10" t="s">
        <v>559</v>
      </c>
    </row>
    <row r="11" spans="1:15" x14ac:dyDescent="0.25">
      <c r="A11" t="s">
        <v>293</v>
      </c>
      <c r="B11" t="s">
        <v>339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Identificar elementos narrativos (enredo, personagens, tempo e espaço).</v>
      </c>
      <c r="L11" t="str">
        <f t="shared" si="5"/>
        <v>EF04LP10</v>
      </c>
      <c r="N11" t="s">
        <v>560</v>
      </c>
      <c r="O11" t="s">
        <v>561</v>
      </c>
    </row>
    <row r="12" spans="1:15" x14ac:dyDescent="0.25">
      <c r="A12" t="s">
        <v>294</v>
      </c>
      <c r="B12" t="s">
        <v>340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Recontar e resumir textos lidos.</v>
      </c>
      <c r="L12" t="str">
        <f t="shared" si="5"/>
        <v>EF04LP11</v>
      </c>
      <c r="N12" t="s">
        <v>103</v>
      </c>
      <c r="O12" t="s">
        <v>562</v>
      </c>
    </row>
    <row r="13" spans="1:15" x14ac:dyDescent="0.25">
      <c r="A13" t="s">
        <v>295</v>
      </c>
      <c r="B13" t="s">
        <v>341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Reconhecer diferentes tipos de discurso (direto e indireto).</v>
      </c>
      <c r="L13" t="str">
        <f t="shared" si="5"/>
        <v>EF04LP12</v>
      </c>
    </row>
    <row r="14" spans="1:15" x14ac:dyDescent="0.25">
      <c r="A14" t="s">
        <v>296</v>
      </c>
      <c r="B14" t="s">
        <v>342</v>
      </c>
      <c r="D14" t="str">
        <f t="shared" si="0"/>
        <v>MA01</v>
      </c>
      <c r="E14" t="s">
        <v>550</v>
      </c>
      <c r="F14" t="s">
        <v>551</v>
      </c>
      <c r="G14" t="str">
        <f t="shared" si="1"/>
        <v>MA</v>
      </c>
      <c r="H14" t="str">
        <f t="shared" si="2"/>
        <v>Matemática</v>
      </c>
      <c r="J14" t="str">
        <f t="shared" si="3"/>
        <v>Matemática</v>
      </c>
      <c r="K14" t="str">
        <f t="shared" si="4"/>
        <v>Ler, escrever e comparar números naturais até a ordem de dezena de milhar.</v>
      </c>
      <c r="L14" t="str">
        <f t="shared" si="5"/>
        <v>EF04MA01</v>
      </c>
    </row>
    <row r="15" spans="1:15" x14ac:dyDescent="0.25">
      <c r="A15" t="s">
        <v>297</v>
      </c>
      <c r="B15" t="s">
        <v>66</v>
      </c>
      <c r="D15" t="str">
        <f t="shared" si="0"/>
        <v>MA02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Compor e decompor números naturais.</v>
      </c>
      <c r="L15" t="str">
        <f t="shared" si="5"/>
        <v>EF04MA02</v>
      </c>
    </row>
    <row r="16" spans="1:15" x14ac:dyDescent="0.25">
      <c r="A16" t="s">
        <v>298</v>
      </c>
      <c r="B16" t="s">
        <v>197</v>
      </c>
      <c r="D16" t="str">
        <f t="shared" si="0"/>
        <v>MA03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Resolver e elaborar problemas de adição e subtração.</v>
      </c>
      <c r="L16" t="str">
        <f t="shared" si="5"/>
        <v>EF04MA03</v>
      </c>
    </row>
    <row r="17" spans="1:12" x14ac:dyDescent="0.25">
      <c r="A17" t="s">
        <v>299</v>
      </c>
      <c r="B17" t="s">
        <v>198</v>
      </c>
      <c r="D17" t="str">
        <f t="shared" si="0"/>
        <v>MA04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problemas de multiplicação.</v>
      </c>
      <c r="L17" t="str">
        <f t="shared" si="5"/>
        <v>EF04MA04</v>
      </c>
    </row>
    <row r="18" spans="1:12" x14ac:dyDescent="0.25">
      <c r="A18" t="s">
        <v>300</v>
      </c>
      <c r="B18" t="s">
        <v>343</v>
      </c>
      <c r="D18" t="str">
        <f t="shared" si="0"/>
        <v>MA05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Resolver problemas de divisão.</v>
      </c>
      <c r="L18" t="str">
        <f t="shared" si="5"/>
        <v>EF04MA05</v>
      </c>
    </row>
    <row r="19" spans="1:12" x14ac:dyDescent="0.25">
      <c r="A19" t="s">
        <v>301</v>
      </c>
      <c r="B19" t="s">
        <v>344</v>
      </c>
      <c r="D19" t="str">
        <f t="shared" si="0"/>
        <v>MA06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Identificar e completar sequências numéricas.</v>
      </c>
      <c r="L19" t="str">
        <f t="shared" si="5"/>
        <v>EF04MA06</v>
      </c>
    </row>
    <row r="20" spans="1:12" x14ac:dyDescent="0.25">
      <c r="A20" t="s">
        <v>302</v>
      </c>
      <c r="B20" t="s">
        <v>345</v>
      </c>
      <c r="D20" t="str">
        <f t="shared" si="0"/>
        <v>MA07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Reconhecer frações simples.</v>
      </c>
      <c r="L20" t="str">
        <f t="shared" si="5"/>
        <v>EF04MA07</v>
      </c>
    </row>
    <row r="21" spans="1:12" x14ac:dyDescent="0.25">
      <c r="A21" t="s">
        <v>303</v>
      </c>
      <c r="B21" t="s">
        <v>346</v>
      </c>
      <c r="D21" t="str">
        <f t="shared" si="0"/>
        <v>MA08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Comparar frações com mesmo denominador.</v>
      </c>
      <c r="L21" t="str">
        <f t="shared" si="5"/>
        <v>EF04MA08</v>
      </c>
    </row>
    <row r="22" spans="1:12" x14ac:dyDescent="0.25">
      <c r="A22" t="s">
        <v>304</v>
      </c>
      <c r="B22" t="s">
        <v>347</v>
      </c>
      <c r="D22" t="str">
        <f t="shared" si="0"/>
        <v>MA09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Identificar figuras geométricas planas.</v>
      </c>
      <c r="L22" t="str">
        <f t="shared" si="5"/>
        <v>EF04MA09</v>
      </c>
    </row>
    <row r="23" spans="1:12" x14ac:dyDescent="0.25">
      <c r="A23" t="s">
        <v>305</v>
      </c>
      <c r="B23" t="s">
        <v>348</v>
      </c>
      <c r="D23" t="str">
        <f t="shared" si="0"/>
        <v>MA10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Calcular perímetro de figuras.</v>
      </c>
      <c r="L23" t="str">
        <f t="shared" si="5"/>
        <v>EF04MA10</v>
      </c>
    </row>
    <row r="24" spans="1:12" x14ac:dyDescent="0.25">
      <c r="A24" t="s">
        <v>306</v>
      </c>
      <c r="B24" t="s">
        <v>349</v>
      </c>
      <c r="D24" t="str">
        <f t="shared" si="0"/>
        <v>MA11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Medir grandezas (comprimento, massa e capacidade).</v>
      </c>
      <c r="L24" t="str">
        <f t="shared" si="5"/>
        <v>EF04MA11</v>
      </c>
    </row>
    <row r="25" spans="1:12" x14ac:dyDescent="0.25">
      <c r="A25" t="s">
        <v>307</v>
      </c>
      <c r="B25" t="s">
        <v>350</v>
      </c>
      <c r="D25" t="str">
        <f t="shared" si="0"/>
        <v>MA12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Interpretar e construir gráficos e tabelas.</v>
      </c>
      <c r="L25" t="str">
        <f t="shared" si="5"/>
        <v>EF04MA12</v>
      </c>
    </row>
    <row r="26" spans="1:12" x14ac:dyDescent="0.25">
      <c r="A26" t="s">
        <v>308</v>
      </c>
      <c r="B26" t="s">
        <v>351</v>
      </c>
      <c r="D26" t="str">
        <f t="shared" si="0"/>
        <v>CI01</v>
      </c>
      <c r="E26" t="s">
        <v>550</v>
      </c>
      <c r="F26" t="s">
        <v>551</v>
      </c>
      <c r="G26" t="str">
        <f t="shared" si="1"/>
        <v>CI</v>
      </c>
      <c r="H26" t="str">
        <f t="shared" si="2"/>
        <v>Ciências</v>
      </c>
      <c r="J26" t="str">
        <f t="shared" si="3"/>
        <v>Ciências</v>
      </c>
      <c r="K26" t="str">
        <f t="shared" si="4"/>
        <v>Identificar características dos ecossistemas.</v>
      </c>
      <c r="L26" t="str">
        <f t="shared" si="5"/>
        <v>EF04CI01</v>
      </c>
    </row>
    <row r="27" spans="1:12" x14ac:dyDescent="0.25">
      <c r="A27" t="s">
        <v>309</v>
      </c>
      <c r="B27" t="s">
        <v>352</v>
      </c>
      <c r="D27" t="str">
        <f t="shared" si="0"/>
        <v>CI02</v>
      </c>
      <c r="E27" t="s">
        <v>550</v>
      </c>
      <c r="F27" t="s">
        <v>551</v>
      </c>
      <c r="G27" t="str">
        <f t="shared" si="1"/>
        <v>CI</v>
      </c>
      <c r="H27" t="str">
        <f t="shared" si="2"/>
        <v>Ciências</v>
      </c>
      <c r="J27" t="str">
        <f t="shared" si="3"/>
        <v>Ciências</v>
      </c>
      <c r="K27" t="str">
        <f t="shared" si="4"/>
        <v>Reconhecer relações entre seres vivos.</v>
      </c>
      <c r="L27" t="str">
        <f t="shared" si="5"/>
        <v>EF04CI02</v>
      </c>
    </row>
    <row r="28" spans="1:12" x14ac:dyDescent="0.25">
      <c r="A28" t="s">
        <v>310</v>
      </c>
      <c r="B28" t="s">
        <v>353</v>
      </c>
      <c r="D28" t="str">
        <f t="shared" si="0"/>
        <v>CI03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Identificar cadeias alimentares simples.</v>
      </c>
      <c r="L28" t="str">
        <f t="shared" si="5"/>
        <v>EF04CI03</v>
      </c>
    </row>
    <row r="29" spans="1:12" x14ac:dyDescent="0.25">
      <c r="A29" t="s">
        <v>311</v>
      </c>
      <c r="B29" t="s">
        <v>354</v>
      </c>
      <c r="D29" t="str">
        <f t="shared" si="0"/>
        <v>CI04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Compreender o ciclo da água.</v>
      </c>
      <c r="L29" t="str">
        <f t="shared" si="5"/>
        <v>EF04CI04</v>
      </c>
    </row>
    <row r="30" spans="1:12" x14ac:dyDescent="0.25">
      <c r="A30" t="s">
        <v>312</v>
      </c>
      <c r="B30" t="s">
        <v>355</v>
      </c>
      <c r="D30" t="str">
        <f t="shared" si="0"/>
        <v>CI05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Identificar formas de poluição ambiental.</v>
      </c>
      <c r="L30" t="str">
        <f t="shared" si="5"/>
        <v>EF04CI05</v>
      </c>
    </row>
    <row r="31" spans="1:12" x14ac:dyDescent="0.25">
      <c r="A31" t="s">
        <v>313</v>
      </c>
      <c r="B31" t="s">
        <v>209</v>
      </c>
      <c r="D31" t="str">
        <f t="shared" si="0"/>
        <v>CI06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Reconhecer a importância da preservação ambiental.</v>
      </c>
      <c r="L31" t="str">
        <f t="shared" si="5"/>
        <v>EF04CI06</v>
      </c>
    </row>
    <row r="32" spans="1:12" x14ac:dyDescent="0.25">
      <c r="A32" t="s">
        <v>314</v>
      </c>
      <c r="B32" t="s">
        <v>356</v>
      </c>
      <c r="D32" t="str">
        <f t="shared" si="0"/>
        <v>CI07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Identificar transformações da matéria.</v>
      </c>
      <c r="L32" t="str">
        <f t="shared" si="5"/>
        <v>EF04CI07</v>
      </c>
    </row>
    <row r="33" spans="1:12" x14ac:dyDescent="0.25">
      <c r="A33" t="s">
        <v>315</v>
      </c>
      <c r="B33" t="s">
        <v>357</v>
      </c>
      <c r="D33" t="str">
        <f t="shared" si="0"/>
        <v>HI01</v>
      </c>
      <c r="E33" t="s">
        <v>550</v>
      </c>
      <c r="F33" t="s">
        <v>551</v>
      </c>
      <c r="G33" t="str">
        <f t="shared" si="1"/>
        <v>HI</v>
      </c>
      <c r="H33" t="str">
        <f t="shared" si="2"/>
        <v>História</v>
      </c>
      <c r="J33" t="str">
        <f t="shared" si="3"/>
        <v>História</v>
      </c>
      <c r="K33" t="str">
        <f t="shared" si="4"/>
        <v>Reconhecer diferentes formas de organização social.</v>
      </c>
      <c r="L33" t="str">
        <f t="shared" si="5"/>
        <v>EF04HI01</v>
      </c>
    </row>
    <row r="34" spans="1:12" x14ac:dyDescent="0.25">
      <c r="A34" t="s">
        <v>316</v>
      </c>
      <c r="B34" t="s">
        <v>84</v>
      </c>
      <c r="D34" t="str">
        <f t="shared" si="0"/>
        <v>HI02</v>
      </c>
      <c r="E34" t="s">
        <v>550</v>
      </c>
      <c r="F34" t="s">
        <v>551</v>
      </c>
      <c r="G34" t="str">
        <f t="shared" si="1"/>
        <v>HI</v>
      </c>
      <c r="H34" t="str">
        <f t="shared" si="2"/>
        <v>História</v>
      </c>
      <c r="J34" t="str">
        <f t="shared" si="3"/>
        <v>História</v>
      </c>
      <c r="K34" t="str">
        <f t="shared" si="4"/>
        <v>Identificar mudanças e permanências ao longo do tempo.</v>
      </c>
      <c r="L34" t="str">
        <f t="shared" si="5"/>
        <v>EF04HI02</v>
      </c>
    </row>
    <row r="35" spans="1:12" x14ac:dyDescent="0.25">
      <c r="A35" t="s">
        <v>317</v>
      </c>
      <c r="B35" t="s">
        <v>358</v>
      </c>
      <c r="D35" t="str">
        <f t="shared" si="0"/>
        <v>HI03</v>
      </c>
      <c r="E35" t="s">
        <v>550</v>
      </c>
      <c r="F35" t="s">
        <v>551</v>
      </c>
      <c r="G35" t="str">
        <f t="shared" si="1"/>
        <v>HI</v>
      </c>
      <c r="H35" t="str">
        <f t="shared" si="2"/>
        <v>História</v>
      </c>
      <c r="J35" t="str">
        <f t="shared" si="3"/>
        <v>História</v>
      </c>
      <c r="K35" t="str">
        <f t="shared" si="4"/>
        <v>Reconhecer a importância da cultura e tradições.</v>
      </c>
      <c r="L35" t="str">
        <f t="shared" si="5"/>
        <v>EF04HI03</v>
      </c>
    </row>
    <row r="36" spans="1:12" x14ac:dyDescent="0.25">
      <c r="A36" t="s">
        <v>318</v>
      </c>
      <c r="B36" t="s">
        <v>359</v>
      </c>
      <c r="D36" t="str">
        <f t="shared" si="0"/>
        <v>HI04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Identificar fatos históricos locais e regionais.</v>
      </c>
      <c r="L36" t="str">
        <f t="shared" si="5"/>
        <v>EF04HI04</v>
      </c>
    </row>
    <row r="37" spans="1:12" x14ac:dyDescent="0.25">
      <c r="A37" t="s">
        <v>319</v>
      </c>
      <c r="B37" t="s">
        <v>215</v>
      </c>
      <c r="D37" t="str">
        <f t="shared" si="0"/>
        <v>HI05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Valorizar a diversidade cultural.</v>
      </c>
      <c r="L37" t="str">
        <f t="shared" si="5"/>
        <v>EF04HI05</v>
      </c>
    </row>
    <row r="38" spans="1:12" x14ac:dyDescent="0.25">
      <c r="A38" t="s">
        <v>320</v>
      </c>
      <c r="B38" t="s">
        <v>360</v>
      </c>
      <c r="D38" t="str">
        <f t="shared" si="0"/>
        <v>GE01</v>
      </c>
      <c r="E38" t="s">
        <v>550</v>
      </c>
      <c r="F38" t="s">
        <v>551</v>
      </c>
      <c r="G38" t="str">
        <f t="shared" si="1"/>
        <v>GE</v>
      </c>
      <c r="H38" t="str">
        <f t="shared" si="2"/>
        <v>Geografia</v>
      </c>
      <c r="J38" t="str">
        <f t="shared" si="3"/>
        <v>Geografia</v>
      </c>
      <c r="K38" t="str">
        <f t="shared" si="4"/>
        <v>Identificar características do espaço geográfico.</v>
      </c>
      <c r="L38" t="str">
        <f t="shared" si="5"/>
        <v>EF04GE01</v>
      </c>
    </row>
    <row r="39" spans="1:12" x14ac:dyDescent="0.25">
      <c r="A39" t="s">
        <v>321</v>
      </c>
      <c r="B39" t="s">
        <v>361</v>
      </c>
      <c r="D39" t="str">
        <f t="shared" si="0"/>
        <v>GE02</v>
      </c>
      <c r="E39" t="s">
        <v>550</v>
      </c>
      <c r="F39" t="s">
        <v>551</v>
      </c>
      <c r="G39" t="str">
        <f t="shared" si="1"/>
        <v>GE</v>
      </c>
      <c r="H39" t="str">
        <f t="shared" si="2"/>
        <v>Geografia</v>
      </c>
      <c r="J39" t="str">
        <f t="shared" si="3"/>
        <v>Geografia</v>
      </c>
      <c r="K39" t="str">
        <f t="shared" si="4"/>
        <v>Reconhecer paisagens naturais e modificadas.</v>
      </c>
      <c r="L39" t="str">
        <f t="shared" si="5"/>
        <v>EF04GE02</v>
      </c>
    </row>
    <row r="40" spans="1:12" x14ac:dyDescent="0.25">
      <c r="A40" t="s">
        <v>322</v>
      </c>
      <c r="B40" t="s">
        <v>362</v>
      </c>
      <c r="D40" t="str">
        <f t="shared" si="0"/>
        <v>GE03</v>
      </c>
      <c r="E40" t="s">
        <v>550</v>
      </c>
      <c r="F40" t="s">
        <v>551</v>
      </c>
      <c r="G40" t="str">
        <f t="shared" si="1"/>
        <v>GE</v>
      </c>
      <c r="H40" t="str">
        <f t="shared" si="2"/>
        <v>Geografia</v>
      </c>
      <c r="J40" t="str">
        <f t="shared" si="3"/>
        <v>Geografia</v>
      </c>
      <c r="K40" t="str">
        <f t="shared" si="4"/>
        <v>Interpretar mapas simples.</v>
      </c>
      <c r="L40" t="str">
        <f t="shared" si="5"/>
        <v>EF04GE03</v>
      </c>
    </row>
    <row r="41" spans="1:12" x14ac:dyDescent="0.25">
      <c r="A41" t="s">
        <v>323</v>
      </c>
      <c r="B41" t="s">
        <v>363</v>
      </c>
      <c r="D41" t="str">
        <f t="shared" si="0"/>
        <v>GE04</v>
      </c>
      <c r="E41" t="s">
        <v>550</v>
      </c>
      <c r="F41" t="s">
        <v>551</v>
      </c>
      <c r="G41" t="str">
        <f t="shared" si="1"/>
        <v>GE</v>
      </c>
      <c r="H41" t="str">
        <f t="shared" si="2"/>
        <v>Geografia</v>
      </c>
      <c r="J41" t="str">
        <f t="shared" si="3"/>
        <v>Geografia</v>
      </c>
      <c r="K41" t="str">
        <f t="shared" si="4"/>
        <v>Identificar atividades econômicas.</v>
      </c>
      <c r="L41" t="str">
        <f t="shared" si="5"/>
        <v>EF04GE04</v>
      </c>
    </row>
    <row r="42" spans="1:12" x14ac:dyDescent="0.25">
      <c r="A42" t="s">
        <v>324</v>
      </c>
      <c r="B42" t="s">
        <v>364</v>
      </c>
      <c r="D42" t="str">
        <f t="shared" si="0"/>
        <v>GE05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Reconhecer impactos ambientais das ações humanas.</v>
      </c>
      <c r="L42" t="str">
        <f t="shared" si="5"/>
        <v>EF04GE05</v>
      </c>
    </row>
    <row r="43" spans="1:12" x14ac:dyDescent="0.25">
      <c r="A43" t="s">
        <v>325</v>
      </c>
      <c r="B43" t="s">
        <v>185</v>
      </c>
      <c r="D43" t="str">
        <f t="shared" si="0"/>
        <v>AR01</v>
      </c>
      <c r="E43" t="s">
        <v>550</v>
      </c>
      <c r="F43" t="s">
        <v>551</v>
      </c>
      <c r="G43" t="str">
        <f t="shared" si="1"/>
        <v>AR</v>
      </c>
      <c r="H43" t="str">
        <f t="shared" si="2"/>
        <v>Arte</v>
      </c>
      <c r="J43" t="str">
        <f t="shared" si="3"/>
        <v>Arte</v>
      </c>
      <c r="K43" t="str">
        <f t="shared" si="4"/>
        <v>Experimentar diferentes linguagens artísticas.</v>
      </c>
      <c r="L43" t="str">
        <f t="shared" si="5"/>
        <v>EF04AR01</v>
      </c>
    </row>
    <row r="44" spans="1:12" x14ac:dyDescent="0.25">
      <c r="A44" t="s">
        <v>326</v>
      </c>
      <c r="B44" t="s">
        <v>221</v>
      </c>
      <c r="D44" t="str">
        <f t="shared" si="0"/>
        <v>AR02</v>
      </c>
      <c r="E44" t="s">
        <v>550</v>
      </c>
      <c r="F44" t="s">
        <v>551</v>
      </c>
      <c r="G44" t="str">
        <f t="shared" si="1"/>
        <v>AR</v>
      </c>
      <c r="H44" t="str">
        <f t="shared" si="2"/>
        <v>Arte</v>
      </c>
      <c r="J44" t="str">
        <f t="shared" si="3"/>
        <v>Arte</v>
      </c>
      <c r="K44" t="str">
        <f t="shared" si="4"/>
        <v>Reconhecer elementos das artes visuais.</v>
      </c>
      <c r="L44" t="str">
        <f t="shared" si="5"/>
        <v>EF04AR02</v>
      </c>
    </row>
    <row r="45" spans="1:12" x14ac:dyDescent="0.25">
      <c r="A45" t="s">
        <v>327</v>
      </c>
      <c r="B45" t="s">
        <v>365</v>
      </c>
      <c r="D45" t="str">
        <f t="shared" si="0"/>
        <v>AR03</v>
      </c>
      <c r="E45" t="s">
        <v>550</v>
      </c>
      <c r="F45" t="s">
        <v>551</v>
      </c>
      <c r="G45" t="str">
        <f t="shared" si="1"/>
        <v>AR</v>
      </c>
      <c r="H45" t="str">
        <f t="shared" si="2"/>
        <v>Arte</v>
      </c>
      <c r="J45" t="str">
        <f t="shared" si="3"/>
        <v>Arte</v>
      </c>
      <c r="K45" t="str">
        <f t="shared" si="4"/>
        <v>Explorar ritmos e sons.</v>
      </c>
      <c r="L45" t="str">
        <f t="shared" si="5"/>
        <v>EF04AR03</v>
      </c>
    </row>
    <row r="46" spans="1:12" x14ac:dyDescent="0.25">
      <c r="A46" t="s">
        <v>328</v>
      </c>
      <c r="B46" t="s">
        <v>366</v>
      </c>
      <c r="D46" t="str">
        <f t="shared" si="0"/>
        <v>AR04</v>
      </c>
      <c r="E46" t="s">
        <v>550</v>
      </c>
      <c r="F46" t="s">
        <v>551</v>
      </c>
      <c r="G46" t="str">
        <f t="shared" si="1"/>
        <v>AR</v>
      </c>
      <c r="H46" t="str">
        <f t="shared" si="2"/>
        <v>Arte</v>
      </c>
      <c r="J46" t="str">
        <f t="shared" si="3"/>
        <v>Arte</v>
      </c>
      <c r="K46" t="str">
        <f t="shared" si="4"/>
        <v>Expressar-se por meio da dança e do corpo.</v>
      </c>
      <c r="L46" t="str">
        <f t="shared" si="5"/>
        <v>EF04AR04</v>
      </c>
    </row>
    <row r="47" spans="1:12" x14ac:dyDescent="0.25">
      <c r="A47" t="s">
        <v>329</v>
      </c>
      <c r="B47" t="s">
        <v>224</v>
      </c>
      <c r="D47" t="str">
        <f t="shared" si="0"/>
        <v>EF01</v>
      </c>
      <c r="E47" t="s">
        <v>550</v>
      </c>
      <c r="F47" t="s">
        <v>551</v>
      </c>
      <c r="G47" t="str">
        <f t="shared" si="1"/>
        <v>EF</v>
      </c>
      <c r="H47" t="str">
        <f t="shared" si="2"/>
        <v>Educação Física</v>
      </c>
      <c r="J47" t="str">
        <f t="shared" si="3"/>
        <v>Educação Física</v>
      </c>
      <c r="K47" t="str">
        <f t="shared" si="4"/>
        <v>Participar de jogos e brincadeiras.</v>
      </c>
      <c r="L47" t="str">
        <f t="shared" si="5"/>
        <v>EF04EF01</v>
      </c>
    </row>
    <row r="48" spans="1:12" x14ac:dyDescent="0.25">
      <c r="A48" t="s">
        <v>330</v>
      </c>
      <c r="B48" t="s">
        <v>367</v>
      </c>
      <c r="D48" t="str">
        <f t="shared" si="0"/>
        <v>EF02</v>
      </c>
      <c r="E48" t="s">
        <v>550</v>
      </c>
      <c r="F48" t="s">
        <v>551</v>
      </c>
      <c r="G48" t="str">
        <f t="shared" si="1"/>
        <v>EF</v>
      </c>
      <c r="H48" t="str">
        <f t="shared" si="2"/>
        <v>Educação Física</v>
      </c>
      <c r="J48" t="str">
        <f t="shared" si="3"/>
        <v>Educação Física</v>
      </c>
      <c r="K48" t="str">
        <f t="shared" si="4"/>
        <v>Desenvolver habilidades motoras.</v>
      </c>
      <c r="L48" t="str">
        <f t="shared" si="5"/>
        <v>EF04EF02</v>
      </c>
    </row>
    <row r="49" spans="1:12" x14ac:dyDescent="0.25">
      <c r="A49" t="s">
        <v>331</v>
      </c>
      <c r="B49" t="s">
        <v>368</v>
      </c>
      <c r="D49" t="str">
        <f t="shared" si="0"/>
        <v>EF03</v>
      </c>
      <c r="E49" t="s">
        <v>550</v>
      </c>
      <c r="F49" t="s">
        <v>551</v>
      </c>
      <c r="G49" t="str">
        <f t="shared" si="1"/>
        <v>EF</v>
      </c>
      <c r="H49" t="str">
        <f t="shared" si="2"/>
        <v>Educação Física</v>
      </c>
      <c r="J49" t="str">
        <f t="shared" si="3"/>
        <v>Educação Física</v>
      </c>
      <c r="K49" t="str">
        <f t="shared" si="4"/>
        <v>Respeitar regras e colegas.</v>
      </c>
      <c r="L49" t="str">
        <f t="shared" si="5"/>
        <v>EF04EF03</v>
      </c>
    </row>
    <row r="50" spans="1:12" x14ac:dyDescent="0.25">
      <c r="A50" t="s">
        <v>332</v>
      </c>
      <c r="B50" t="s">
        <v>226</v>
      </c>
      <c r="D50" t="str">
        <f t="shared" si="0"/>
        <v>EF04</v>
      </c>
      <c r="E50" t="s">
        <v>550</v>
      </c>
      <c r="F50" t="s">
        <v>551</v>
      </c>
      <c r="G50" t="str">
        <f t="shared" si="1"/>
        <v>EF</v>
      </c>
      <c r="H50" t="str">
        <f t="shared" si="2"/>
        <v>Educação Física</v>
      </c>
      <c r="J50" t="str">
        <f t="shared" si="3"/>
        <v>Educação Física</v>
      </c>
      <c r="K50" t="str">
        <f t="shared" si="4"/>
        <v>Valorizar o trabalho em equipe.</v>
      </c>
      <c r="L50" t="str">
        <f t="shared" si="5"/>
        <v>EF04EF04</v>
      </c>
    </row>
    <row r="51" spans="1:12" x14ac:dyDescent="0.25">
      <c r="D51" t="str">
        <f t="shared" si="0"/>
        <v/>
      </c>
      <c r="E51" t="s">
        <v>550</v>
      </c>
      <c r="F51" t="s">
        <v>551</v>
      </c>
      <c r="G51" t="str">
        <f t="shared" si="1"/>
        <v/>
      </c>
      <c r="H51" t="e">
        <f t="shared" si="2"/>
        <v>#N/A</v>
      </c>
      <c r="J51" t="e">
        <f t="shared" si="3"/>
        <v>#N/A</v>
      </c>
      <c r="K51">
        <f t="shared" si="4"/>
        <v>0</v>
      </c>
      <c r="L51">
        <f t="shared" si="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6B4F-8094-4766-A26C-7AE0512315F0}">
  <dimension ref="A1:O56"/>
  <sheetViews>
    <sheetView topLeftCell="C15" workbookViewId="0">
      <selection activeCell="J2" sqref="J2:L51"/>
    </sheetView>
  </sheetViews>
  <sheetFormatPr defaultRowHeight="15" x14ac:dyDescent="0.25"/>
  <cols>
    <col min="2" max="2" width="64.14062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369</v>
      </c>
      <c r="B2" t="s">
        <v>418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Ler e compreender textos de diferentes gêneros com autonomia.</v>
      </c>
      <c r="L2" t="str">
        <f>A2</f>
        <v>EF05LP01</v>
      </c>
    </row>
    <row r="3" spans="1:15" x14ac:dyDescent="0.25">
      <c r="A3" t="s">
        <v>370</v>
      </c>
      <c r="B3" t="s">
        <v>419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Localizar e comparar informações em textos.</v>
      </c>
      <c r="L3" t="str">
        <f t="shared" ref="L3:L51" si="5">A3</f>
        <v>EF05LP02</v>
      </c>
    </row>
    <row r="4" spans="1:15" x14ac:dyDescent="0.25">
      <c r="A4" t="s">
        <v>371</v>
      </c>
      <c r="B4" t="s">
        <v>192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em textos.</v>
      </c>
      <c r="L4" t="str">
        <f t="shared" si="5"/>
        <v>EF05LP03</v>
      </c>
    </row>
    <row r="5" spans="1:15" x14ac:dyDescent="0.25">
      <c r="A5" t="s">
        <v>372</v>
      </c>
      <c r="B5" t="s">
        <v>420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Identificar a ideia central e os temas de textos.</v>
      </c>
      <c r="L5" t="str">
        <f t="shared" si="5"/>
        <v>EF05LP04</v>
      </c>
    </row>
    <row r="6" spans="1:15" x14ac:dyDescent="0.25">
      <c r="A6" t="s">
        <v>373</v>
      </c>
      <c r="B6" t="s">
        <v>334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Reconhecer a finalidade de diferentes gêneros textuais.</v>
      </c>
      <c r="L6" t="str">
        <f t="shared" si="5"/>
        <v>EF05LP05</v>
      </c>
      <c r="N6" t="s">
        <v>552</v>
      </c>
      <c r="O6" t="s">
        <v>553</v>
      </c>
    </row>
    <row r="7" spans="1:15" x14ac:dyDescent="0.25">
      <c r="A7" t="s">
        <v>374</v>
      </c>
      <c r="B7" t="s">
        <v>421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Planejar e produzir textos considerando o contexto comunicativo.</v>
      </c>
      <c r="L7" t="str">
        <f t="shared" si="5"/>
        <v>EF05LP06</v>
      </c>
      <c r="N7" t="s">
        <v>104</v>
      </c>
      <c r="O7" t="s">
        <v>105</v>
      </c>
    </row>
    <row r="8" spans="1:15" x14ac:dyDescent="0.25">
      <c r="A8" t="s">
        <v>375</v>
      </c>
      <c r="B8" t="s">
        <v>422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Revisar textos quanto à ortografia, pontuação e coerência.</v>
      </c>
      <c r="L8" t="str">
        <f t="shared" si="5"/>
        <v>EF05LP07</v>
      </c>
      <c r="N8" t="s">
        <v>554</v>
      </c>
      <c r="O8" t="s">
        <v>555</v>
      </c>
    </row>
    <row r="9" spans="1:15" x14ac:dyDescent="0.25">
      <c r="A9" t="s">
        <v>376</v>
      </c>
      <c r="B9" t="s">
        <v>423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Utilizar corretamente pontuação em diálogos e narrativas.</v>
      </c>
      <c r="L9" t="str">
        <f t="shared" si="5"/>
        <v>EF05LP08</v>
      </c>
      <c r="N9" t="s">
        <v>556</v>
      </c>
      <c r="O9" t="s">
        <v>557</v>
      </c>
    </row>
    <row r="10" spans="1:15" x14ac:dyDescent="0.25">
      <c r="A10" t="s">
        <v>377</v>
      </c>
      <c r="B10" t="s">
        <v>424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Empregar normas ortográficas da língua portuguesa.</v>
      </c>
      <c r="L10" t="str">
        <f t="shared" si="5"/>
        <v>EF05LP09</v>
      </c>
      <c r="N10" t="s">
        <v>558</v>
      </c>
      <c r="O10" t="s">
        <v>559</v>
      </c>
    </row>
    <row r="11" spans="1:15" x14ac:dyDescent="0.25">
      <c r="A11" t="s">
        <v>378</v>
      </c>
      <c r="B11" t="s">
        <v>425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Identificar e analisar elementos narrativos.</v>
      </c>
      <c r="L11" t="str">
        <f t="shared" si="5"/>
        <v>EF05LP10</v>
      </c>
      <c r="N11" t="s">
        <v>560</v>
      </c>
      <c r="O11" t="s">
        <v>561</v>
      </c>
    </row>
    <row r="12" spans="1:15" x14ac:dyDescent="0.25">
      <c r="A12" t="s">
        <v>379</v>
      </c>
      <c r="B12" t="s">
        <v>426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Resumir e recontar textos mantendo coerência.</v>
      </c>
      <c r="L12" t="str">
        <f t="shared" si="5"/>
        <v>EF05LP11</v>
      </c>
      <c r="N12" t="s">
        <v>103</v>
      </c>
      <c r="O12" t="s">
        <v>562</v>
      </c>
    </row>
    <row r="13" spans="1:15" x14ac:dyDescent="0.25">
      <c r="A13" t="s">
        <v>380</v>
      </c>
      <c r="B13" t="s">
        <v>427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Reconhecer diferentes vozes no texto (narrador e personagens).</v>
      </c>
      <c r="L13" t="str">
        <f t="shared" si="5"/>
        <v>EF05LP12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381</v>
      </c>
      <c r="B15" t="s">
        <v>428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Ler, escrever e comparar números naturais até a ordem de centena de milhar.</v>
      </c>
      <c r="L15" t="str">
        <f t="shared" si="5"/>
        <v>EF05MA01</v>
      </c>
    </row>
    <row r="16" spans="1:15" x14ac:dyDescent="0.25">
      <c r="A16" t="s">
        <v>382</v>
      </c>
      <c r="B16" t="s">
        <v>66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Compor e decompor números naturais.</v>
      </c>
      <c r="L16" t="str">
        <f t="shared" si="5"/>
        <v>EF05MA02</v>
      </c>
    </row>
    <row r="17" spans="1:12" x14ac:dyDescent="0.25">
      <c r="A17" t="s">
        <v>383</v>
      </c>
      <c r="B17" t="s">
        <v>197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e elaborar problemas de adição e subtração.</v>
      </c>
      <c r="L17" t="str">
        <f t="shared" si="5"/>
        <v>EF05MA03</v>
      </c>
    </row>
    <row r="18" spans="1:12" x14ac:dyDescent="0.25">
      <c r="A18" t="s">
        <v>384</v>
      </c>
      <c r="B18" t="s">
        <v>429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Resolver problemas de multiplicação e divisão.</v>
      </c>
      <c r="L18" t="str">
        <f t="shared" si="5"/>
        <v>EF05MA04</v>
      </c>
    </row>
    <row r="19" spans="1:12" x14ac:dyDescent="0.25">
      <c r="A19" t="s">
        <v>385</v>
      </c>
      <c r="B19" t="s">
        <v>430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Reconhecer e comparar frações.</v>
      </c>
      <c r="L19" t="str">
        <f t="shared" si="5"/>
        <v>EF05MA05</v>
      </c>
    </row>
    <row r="20" spans="1:12" x14ac:dyDescent="0.25">
      <c r="A20" t="s">
        <v>386</v>
      </c>
      <c r="B20" t="s">
        <v>431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Relacionar frações e números decimais.</v>
      </c>
      <c r="L20" t="str">
        <f t="shared" si="5"/>
        <v>EF05MA06</v>
      </c>
    </row>
    <row r="21" spans="1:12" x14ac:dyDescent="0.25">
      <c r="A21" t="s">
        <v>387</v>
      </c>
      <c r="B21" t="s">
        <v>432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Resolver problemas com números decimais.</v>
      </c>
      <c r="L21" t="str">
        <f t="shared" si="5"/>
        <v>EF05MA07</v>
      </c>
    </row>
    <row r="22" spans="1:12" x14ac:dyDescent="0.25">
      <c r="A22" t="s">
        <v>388</v>
      </c>
      <c r="B22" t="s">
        <v>433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Identificar figuras geométricas planas e espaciais.</v>
      </c>
      <c r="L22" t="str">
        <f t="shared" si="5"/>
        <v>EF05MA08</v>
      </c>
    </row>
    <row r="23" spans="1:12" x14ac:dyDescent="0.25">
      <c r="A23" t="s">
        <v>389</v>
      </c>
      <c r="B23" t="s">
        <v>434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Calcular perímetro e área de figuras simples.</v>
      </c>
      <c r="L23" t="str">
        <f t="shared" si="5"/>
        <v>EF05MA09</v>
      </c>
    </row>
    <row r="24" spans="1:12" x14ac:dyDescent="0.25">
      <c r="A24" t="s">
        <v>390</v>
      </c>
      <c r="B24" t="s">
        <v>435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Medir grandezas e resolver problemas envolvendo medidas.</v>
      </c>
      <c r="L24" t="str">
        <f t="shared" si="5"/>
        <v>EF05MA10</v>
      </c>
    </row>
    <row r="25" spans="1:12" x14ac:dyDescent="0.25">
      <c r="A25" t="s">
        <v>391</v>
      </c>
      <c r="B25" t="s">
        <v>350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Interpretar e construir gráficos e tabelas.</v>
      </c>
      <c r="L25" t="str">
        <f t="shared" si="5"/>
        <v>EF05MA11</v>
      </c>
    </row>
    <row r="26" spans="1:12" x14ac:dyDescent="0.25">
      <c r="A26" t="s">
        <v>392</v>
      </c>
      <c r="B26" t="s">
        <v>436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Resolver problemas envolvendo dados e informações.</v>
      </c>
      <c r="L26" t="str">
        <f t="shared" si="5"/>
        <v>EF05MA12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393</v>
      </c>
      <c r="B28" t="s">
        <v>437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Compreender a organização dos ecossistemas.</v>
      </c>
      <c r="L28" t="str">
        <f t="shared" si="5"/>
        <v>EF05CI01</v>
      </c>
    </row>
    <row r="29" spans="1:12" x14ac:dyDescent="0.25">
      <c r="A29" t="s">
        <v>394</v>
      </c>
      <c r="B29" t="s">
        <v>438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Identificar cadeias e teias alimentares.</v>
      </c>
      <c r="L29" t="str">
        <f t="shared" si="5"/>
        <v>EF05CI02</v>
      </c>
    </row>
    <row r="30" spans="1:12" x14ac:dyDescent="0.25">
      <c r="A30" t="s">
        <v>395</v>
      </c>
      <c r="B30" t="s">
        <v>439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Reconhecer a importância da água e seu ciclo.</v>
      </c>
      <c r="L30" t="str">
        <f t="shared" si="5"/>
        <v>EF05CI03</v>
      </c>
    </row>
    <row r="31" spans="1:12" x14ac:dyDescent="0.25">
      <c r="A31" t="s">
        <v>396</v>
      </c>
      <c r="B31" t="s">
        <v>440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Identificar fontes e tipos de energia.</v>
      </c>
      <c r="L31" t="str">
        <f t="shared" si="5"/>
        <v>EF05CI04</v>
      </c>
    </row>
    <row r="32" spans="1:12" x14ac:dyDescent="0.25">
      <c r="A32" t="s">
        <v>397</v>
      </c>
      <c r="B32" t="s">
        <v>441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Compreender transformações da matéria.</v>
      </c>
      <c r="L32" t="str">
        <f t="shared" si="5"/>
        <v>EF05CI05</v>
      </c>
    </row>
    <row r="33" spans="1:12" x14ac:dyDescent="0.25">
      <c r="A33" t="s">
        <v>398</v>
      </c>
      <c r="B33" t="s">
        <v>442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Reconhecer impactos ambientais causados pelo ser humano.</v>
      </c>
      <c r="L33" t="str">
        <f t="shared" si="5"/>
        <v>EF05CI06</v>
      </c>
    </row>
    <row r="34" spans="1:12" x14ac:dyDescent="0.25">
      <c r="A34" t="s">
        <v>399</v>
      </c>
      <c r="B34" t="s">
        <v>443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Propor ações de preservação ambiental.</v>
      </c>
      <c r="L34" t="str">
        <f t="shared" si="5"/>
        <v>EF05CI07</v>
      </c>
    </row>
    <row r="35" spans="1:12" x14ac:dyDescent="0.25">
      <c r="D35" t="str">
        <f t="shared" si="0"/>
        <v/>
      </c>
      <c r="E35" t="s">
        <v>550</v>
      </c>
      <c r="F35" t="s">
        <v>551</v>
      </c>
      <c r="G35" t="str">
        <f t="shared" si="1"/>
        <v/>
      </c>
      <c r="H35" t="e">
        <f t="shared" si="2"/>
        <v>#N/A</v>
      </c>
      <c r="J35" t="e">
        <f t="shared" si="3"/>
        <v>#N/A</v>
      </c>
      <c r="K35">
        <f t="shared" si="4"/>
        <v>0</v>
      </c>
      <c r="L35">
        <f t="shared" si="5"/>
        <v>0</v>
      </c>
    </row>
    <row r="36" spans="1:12" x14ac:dyDescent="0.25">
      <c r="A36" t="s">
        <v>400</v>
      </c>
      <c r="B36" t="s">
        <v>444</v>
      </c>
      <c r="D36" t="str">
        <f t="shared" si="0"/>
        <v>HI01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Reconhecer processos históricos locais e regionais.</v>
      </c>
      <c r="L36" t="str">
        <f t="shared" si="5"/>
        <v>EF05HI01</v>
      </c>
    </row>
    <row r="37" spans="1:12" x14ac:dyDescent="0.25">
      <c r="A37" t="s">
        <v>401</v>
      </c>
      <c r="B37" t="s">
        <v>84</v>
      </c>
      <c r="D37" t="str">
        <f t="shared" si="0"/>
        <v>HI02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Identificar mudanças e permanências ao longo do tempo.</v>
      </c>
      <c r="L37" t="str">
        <f t="shared" si="5"/>
        <v>EF05HI02</v>
      </c>
    </row>
    <row r="38" spans="1:12" x14ac:dyDescent="0.25">
      <c r="A38" t="s">
        <v>402</v>
      </c>
      <c r="B38" t="s">
        <v>445</v>
      </c>
      <c r="D38" t="str">
        <f t="shared" si="0"/>
        <v>HI03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Compreender a formação da sociedade brasileira.</v>
      </c>
      <c r="L38" t="str">
        <f t="shared" si="5"/>
        <v>EF05HI03</v>
      </c>
    </row>
    <row r="39" spans="1:12" x14ac:dyDescent="0.25">
      <c r="A39" t="s">
        <v>403</v>
      </c>
      <c r="B39" t="s">
        <v>446</v>
      </c>
      <c r="D39" t="str">
        <f t="shared" si="0"/>
        <v>HI04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Reconhecer a diversidade cultural.</v>
      </c>
      <c r="L39" t="str">
        <f t="shared" si="5"/>
        <v>EF05HI04</v>
      </c>
    </row>
    <row r="40" spans="1:12" x14ac:dyDescent="0.25">
      <c r="A40" t="s">
        <v>404</v>
      </c>
      <c r="B40" t="s">
        <v>447</v>
      </c>
      <c r="D40" t="str">
        <f t="shared" si="0"/>
        <v>HI05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Valorizar patrimônios históricos e culturais.</v>
      </c>
      <c r="L40" t="str">
        <f t="shared" si="5"/>
        <v>EF05HI05</v>
      </c>
    </row>
    <row r="41" spans="1:12" x14ac:dyDescent="0.25">
      <c r="D41" t="str">
        <f t="shared" si="0"/>
        <v/>
      </c>
      <c r="E41" t="s">
        <v>550</v>
      </c>
      <c r="F41" t="s">
        <v>551</v>
      </c>
      <c r="G41" t="str">
        <f t="shared" si="1"/>
        <v/>
      </c>
      <c r="H41" t="e">
        <f t="shared" si="2"/>
        <v>#N/A</v>
      </c>
      <c r="J41" t="e">
        <f t="shared" si="3"/>
        <v>#N/A</v>
      </c>
      <c r="K41">
        <f t="shared" si="4"/>
        <v>0</v>
      </c>
      <c r="L41">
        <f t="shared" si="5"/>
        <v>0</v>
      </c>
    </row>
    <row r="42" spans="1:12" x14ac:dyDescent="0.25">
      <c r="A42" t="s">
        <v>405</v>
      </c>
      <c r="B42" t="s">
        <v>448</v>
      </c>
      <c r="D42" t="str">
        <f t="shared" si="0"/>
        <v>GE01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Identificar características do território brasileiro.</v>
      </c>
      <c r="L42" t="str">
        <f t="shared" si="5"/>
        <v>EF05GE01</v>
      </c>
    </row>
    <row r="43" spans="1:12" x14ac:dyDescent="0.25">
      <c r="A43" t="s">
        <v>406</v>
      </c>
      <c r="B43" t="s">
        <v>449</v>
      </c>
      <c r="D43" t="str">
        <f t="shared" si="0"/>
        <v>GE02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Reconhecer diferentes paisagens do Brasil.</v>
      </c>
      <c r="L43" t="str">
        <f t="shared" si="5"/>
        <v>EF05GE02</v>
      </c>
    </row>
    <row r="44" spans="1:12" x14ac:dyDescent="0.25">
      <c r="A44" t="s">
        <v>407</v>
      </c>
      <c r="B44" t="s">
        <v>450</v>
      </c>
      <c r="D44" t="str">
        <f t="shared" si="0"/>
        <v>GE03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Interpretar mapas e representações cartográficas.</v>
      </c>
      <c r="L44" t="str">
        <f t="shared" si="5"/>
        <v>EF05GE03</v>
      </c>
    </row>
    <row r="45" spans="1:12" x14ac:dyDescent="0.25">
      <c r="A45" t="s">
        <v>408</v>
      </c>
      <c r="B45" t="s">
        <v>451</v>
      </c>
      <c r="D45" t="str">
        <f t="shared" si="0"/>
        <v>GE04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Identificar atividades econômicas no Brasil.</v>
      </c>
      <c r="L45" t="str">
        <f t="shared" si="5"/>
        <v>EF05GE04</v>
      </c>
    </row>
    <row r="46" spans="1:12" x14ac:dyDescent="0.25">
      <c r="A46" t="s">
        <v>409</v>
      </c>
      <c r="B46" t="s">
        <v>452</v>
      </c>
      <c r="D46" t="str">
        <f t="shared" si="0"/>
        <v>GE05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Compreender impactos ambientais no território.</v>
      </c>
      <c r="L46" t="str">
        <f t="shared" si="5"/>
        <v>EF05GE05</v>
      </c>
    </row>
    <row r="47" spans="1:12" x14ac:dyDescent="0.25">
      <c r="D47" t="str">
        <f t="shared" si="0"/>
        <v/>
      </c>
      <c r="E47" t="s">
        <v>550</v>
      </c>
      <c r="F47" t="s">
        <v>551</v>
      </c>
      <c r="G47" t="str">
        <f t="shared" si="1"/>
        <v/>
      </c>
      <c r="H47" t="e">
        <f t="shared" si="2"/>
        <v>#N/A</v>
      </c>
      <c r="J47" t="e">
        <f t="shared" si="3"/>
        <v>#N/A</v>
      </c>
      <c r="K47">
        <f t="shared" si="4"/>
        <v>0</v>
      </c>
      <c r="L47">
        <f t="shared" si="5"/>
        <v>0</v>
      </c>
    </row>
    <row r="48" spans="1:12" x14ac:dyDescent="0.25">
      <c r="A48" t="s">
        <v>410</v>
      </c>
      <c r="B48" t="s">
        <v>185</v>
      </c>
      <c r="D48" t="str">
        <f t="shared" si="0"/>
        <v>AR01</v>
      </c>
      <c r="E48" t="s">
        <v>550</v>
      </c>
      <c r="F48" t="s">
        <v>551</v>
      </c>
      <c r="G48" t="str">
        <f t="shared" si="1"/>
        <v>AR</v>
      </c>
      <c r="H48" t="str">
        <f t="shared" si="2"/>
        <v>Arte</v>
      </c>
      <c r="J48" t="str">
        <f t="shared" si="3"/>
        <v>Arte</v>
      </c>
      <c r="K48" t="str">
        <f t="shared" si="4"/>
        <v>Experimentar diferentes linguagens artísticas.</v>
      </c>
      <c r="L48" t="str">
        <f t="shared" si="5"/>
        <v>EF05AR01</v>
      </c>
    </row>
    <row r="49" spans="1:12" x14ac:dyDescent="0.25">
      <c r="A49" t="s">
        <v>411</v>
      </c>
      <c r="B49" t="s">
        <v>453</v>
      </c>
      <c r="D49" t="str">
        <f t="shared" si="0"/>
        <v>AR02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Reconhecer elementos das artes visuais e musicais.</v>
      </c>
      <c r="L49" t="str">
        <f t="shared" si="5"/>
        <v>EF05AR02</v>
      </c>
    </row>
    <row r="50" spans="1:12" x14ac:dyDescent="0.25">
      <c r="A50" t="s">
        <v>412</v>
      </c>
      <c r="B50" t="s">
        <v>454</v>
      </c>
      <c r="D50" t="str">
        <f t="shared" si="0"/>
        <v>AR03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Explorar diferentes formas de expressão artística.</v>
      </c>
      <c r="L50" t="str">
        <f t="shared" si="5"/>
        <v>EF05AR03</v>
      </c>
    </row>
    <row r="51" spans="1:12" x14ac:dyDescent="0.25">
      <c r="A51" t="s">
        <v>413</v>
      </c>
      <c r="B51" t="s">
        <v>455</v>
      </c>
      <c r="D51" t="str">
        <f t="shared" si="0"/>
        <v>AR04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Valorizar produções artísticas diversas.</v>
      </c>
      <c r="L51" t="str">
        <f t="shared" si="5"/>
        <v>EF05AR04</v>
      </c>
    </row>
    <row r="53" spans="1:12" x14ac:dyDescent="0.25">
      <c r="A53" t="s">
        <v>414</v>
      </c>
      <c r="B53" t="s">
        <v>456</v>
      </c>
    </row>
    <row r="54" spans="1:12" x14ac:dyDescent="0.25">
      <c r="A54" t="s">
        <v>415</v>
      </c>
      <c r="B54" t="s">
        <v>367</v>
      </c>
    </row>
    <row r="55" spans="1:12" x14ac:dyDescent="0.25">
      <c r="A55" t="s">
        <v>416</v>
      </c>
      <c r="B55" t="s">
        <v>457</v>
      </c>
    </row>
    <row r="56" spans="1:12" x14ac:dyDescent="0.25">
      <c r="A56" t="s">
        <v>417</v>
      </c>
      <c r="B56" t="s">
        <v>458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2B39-B001-456C-B3A9-F8A70C2676BD}">
  <dimension ref="A1:O57"/>
  <sheetViews>
    <sheetView topLeftCell="A21" workbookViewId="0">
      <selection activeCell="J2" sqref="J2:L51"/>
    </sheetView>
  </sheetViews>
  <sheetFormatPr defaultRowHeight="15" x14ac:dyDescent="0.25"/>
  <cols>
    <col min="1" max="1" width="9.7109375" bestFit="1" customWidth="1"/>
    <col min="2" max="2" width="66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0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459</v>
      </c>
      <c r="B2" t="s">
        <v>509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Identificar o tema e a ideia central em textos de diferentes gêneros.</v>
      </c>
      <c r="L2" t="str">
        <f>A2</f>
        <v>EF06LP01</v>
      </c>
    </row>
    <row r="3" spans="1:15" x14ac:dyDescent="0.25">
      <c r="A3" t="s">
        <v>460</v>
      </c>
      <c r="B3" t="s">
        <v>54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Localizar informações explícitas em textos.</v>
      </c>
      <c r="L3" t="str">
        <f t="shared" ref="L3:L51" si="5">A3</f>
        <v>EF06LP02</v>
      </c>
    </row>
    <row r="4" spans="1:15" x14ac:dyDescent="0.25">
      <c r="A4" t="s">
        <v>461</v>
      </c>
      <c r="B4" t="s">
        <v>192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em textos.</v>
      </c>
      <c r="L4" t="str">
        <f t="shared" si="5"/>
        <v>EF06LP03</v>
      </c>
    </row>
    <row r="5" spans="1:15" x14ac:dyDescent="0.25">
      <c r="A5" t="s">
        <v>462</v>
      </c>
      <c r="B5" t="s">
        <v>510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Reconhecer a finalidade de textos de diferentes gêneros.</v>
      </c>
      <c r="L5" t="str">
        <f t="shared" si="5"/>
        <v>EF06LP04</v>
      </c>
    </row>
    <row r="6" spans="1:15" x14ac:dyDescent="0.25">
      <c r="A6" t="s">
        <v>463</v>
      </c>
      <c r="B6" t="s">
        <v>511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Analisar elementos da narrativa (personagens, tempo, espaço, enredo).</v>
      </c>
      <c r="L6" t="str">
        <f t="shared" si="5"/>
        <v>EF06LP05</v>
      </c>
      <c r="N6" t="s">
        <v>552</v>
      </c>
      <c r="O6" t="s">
        <v>553</v>
      </c>
    </row>
    <row r="7" spans="1:15" x14ac:dyDescent="0.25">
      <c r="A7" t="s">
        <v>464</v>
      </c>
      <c r="B7" t="s">
        <v>512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Comparar diferentes textos sobre o mesmo tema.</v>
      </c>
      <c r="L7" t="str">
        <f t="shared" si="5"/>
        <v>EF06LP06</v>
      </c>
      <c r="N7" t="s">
        <v>104</v>
      </c>
      <c r="O7" t="s">
        <v>105</v>
      </c>
    </row>
    <row r="8" spans="1:15" x14ac:dyDescent="0.25">
      <c r="A8" t="s">
        <v>465</v>
      </c>
      <c r="B8" t="s">
        <v>421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Planejar e produzir textos considerando o contexto comunicativo.</v>
      </c>
      <c r="L8" t="str">
        <f t="shared" si="5"/>
        <v>EF06LP07</v>
      </c>
      <c r="N8" t="s">
        <v>554</v>
      </c>
      <c r="O8" t="s">
        <v>555</v>
      </c>
    </row>
    <row r="9" spans="1:15" x14ac:dyDescent="0.25">
      <c r="A9" t="s">
        <v>466</v>
      </c>
      <c r="B9" t="s">
        <v>513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Revisar textos quanto à coerência, coesão e adequação linguística.</v>
      </c>
      <c r="L9" t="str">
        <f t="shared" si="5"/>
        <v>EF06LP08</v>
      </c>
      <c r="N9" t="s">
        <v>556</v>
      </c>
      <c r="O9" t="s">
        <v>557</v>
      </c>
    </row>
    <row r="10" spans="1:15" x14ac:dyDescent="0.25">
      <c r="A10" t="s">
        <v>467</v>
      </c>
      <c r="B10" t="s">
        <v>514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Utilizar corretamente pontuação e ortografia.</v>
      </c>
      <c r="L10" t="str">
        <f t="shared" si="5"/>
        <v>EF06LP09</v>
      </c>
      <c r="N10" t="s">
        <v>558</v>
      </c>
      <c r="O10" t="s">
        <v>559</v>
      </c>
    </row>
    <row r="11" spans="1:15" x14ac:dyDescent="0.25">
      <c r="A11" t="s">
        <v>468</v>
      </c>
      <c r="B11" t="s">
        <v>515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Reconhecer efeitos de sentido produzidos por recursos linguísticos.</v>
      </c>
      <c r="L11" t="str">
        <f t="shared" si="5"/>
        <v>EF06LP10</v>
      </c>
      <c r="N11" t="s">
        <v>560</v>
      </c>
      <c r="O11" t="s">
        <v>561</v>
      </c>
    </row>
    <row r="12" spans="1:15" x14ac:dyDescent="0.25">
      <c r="A12" t="s">
        <v>469</v>
      </c>
      <c r="B12" t="s">
        <v>516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Identificar diferentes vozes no texto.</v>
      </c>
      <c r="L12" t="str">
        <f t="shared" si="5"/>
        <v>EF06LP11</v>
      </c>
      <c r="N12" t="s">
        <v>103</v>
      </c>
      <c r="O12" t="s">
        <v>562</v>
      </c>
    </row>
    <row r="13" spans="1:15" x14ac:dyDescent="0.25">
      <c r="A13" t="s">
        <v>470</v>
      </c>
      <c r="B13" t="s">
        <v>517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Participar de práticas de leitura e produção oral.</v>
      </c>
      <c r="L13" t="str">
        <f t="shared" si="5"/>
        <v>EF06LP12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471</v>
      </c>
      <c r="B15" t="s">
        <v>518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Resolver e elaborar problemas com números naturais.</v>
      </c>
      <c r="L15" t="str">
        <f t="shared" si="5"/>
        <v>EF06MA01</v>
      </c>
    </row>
    <row r="16" spans="1:15" x14ac:dyDescent="0.25">
      <c r="A16" t="s">
        <v>472</v>
      </c>
      <c r="B16" t="s">
        <v>519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Compreender e utilizar operações com números naturais.</v>
      </c>
      <c r="L16" t="str">
        <f t="shared" si="5"/>
        <v>EF06MA02</v>
      </c>
    </row>
    <row r="17" spans="1:12" x14ac:dyDescent="0.25">
      <c r="A17" t="s">
        <v>473</v>
      </c>
      <c r="B17" t="s">
        <v>520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problemas envolvendo múltiplos e divisores.</v>
      </c>
      <c r="L17" t="str">
        <f t="shared" si="5"/>
        <v>EF06MA03</v>
      </c>
    </row>
    <row r="18" spans="1:12" x14ac:dyDescent="0.25">
      <c r="A18" t="s">
        <v>474</v>
      </c>
      <c r="B18" t="s">
        <v>521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Compreender frações e suas representações.</v>
      </c>
      <c r="L18" t="str">
        <f t="shared" si="5"/>
        <v>EF06MA04</v>
      </c>
    </row>
    <row r="19" spans="1:12" x14ac:dyDescent="0.25">
      <c r="A19" t="s">
        <v>475</v>
      </c>
      <c r="B19" t="s">
        <v>522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Resolver problemas com números racionais.</v>
      </c>
      <c r="L19" t="str">
        <f t="shared" si="5"/>
        <v>EF06MA05</v>
      </c>
    </row>
    <row r="20" spans="1:12" x14ac:dyDescent="0.25">
      <c r="A20" t="s">
        <v>476</v>
      </c>
      <c r="B20" t="s">
        <v>523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Identificar e representar números em diferentes formas.</v>
      </c>
      <c r="L20" t="str">
        <f t="shared" si="5"/>
        <v>EF06MA06</v>
      </c>
    </row>
    <row r="21" spans="1:12" x14ac:dyDescent="0.25">
      <c r="A21" t="s">
        <v>477</v>
      </c>
      <c r="B21" t="s">
        <v>524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Reconhecer e classificar figuras geométricas.</v>
      </c>
      <c r="L21" t="str">
        <f t="shared" si="5"/>
        <v>EF06MA07</v>
      </c>
    </row>
    <row r="22" spans="1:12" x14ac:dyDescent="0.25">
      <c r="A22" t="s">
        <v>478</v>
      </c>
      <c r="B22" t="s">
        <v>525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Calcular perímetro e área de figuras planas.</v>
      </c>
      <c r="L22" t="str">
        <f t="shared" si="5"/>
        <v>EF06MA08</v>
      </c>
    </row>
    <row r="23" spans="1:12" x14ac:dyDescent="0.25">
      <c r="A23" t="s">
        <v>479</v>
      </c>
      <c r="B23" t="s">
        <v>526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Resolver problemas envolvendo medidas.</v>
      </c>
      <c r="L23" t="str">
        <f t="shared" si="5"/>
        <v>EF06MA09</v>
      </c>
    </row>
    <row r="24" spans="1:12" x14ac:dyDescent="0.25">
      <c r="A24" t="s">
        <v>480</v>
      </c>
      <c r="B24" t="s">
        <v>350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Interpretar e construir gráficos e tabelas.</v>
      </c>
      <c r="L24" t="str">
        <f t="shared" si="5"/>
        <v>EF06MA10</v>
      </c>
    </row>
    <row r="25" spans="1:12" x14ac:dyDescent="0.25">
      <c r="A25" t="s">
        <v>481</v>
      </c>
      <c r="B25" t="s">
        <v>527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Identificar padrões e regularidades.</v>
      </c>
      <c r="L25" t="str">
        <f t="shared" si="5"/>
        <v>EF06MA11</v>
      </c>
    </row>
    <row r="26" spans="1:12" x14ac:dyDescent="0.25">
      <c r="A26" t="s">
        <v>482</v>
      </c>
      <c r="B26" t="s">
        <v>528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Resolver problemas envolvendo proporcionalidade simples.</v>
      </c>
      <c r="L26" t="str">
        <f t="shared" si="5"/>
        <v>EF06MA12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483</v>
      </c>
      <c r="B28" t="s">
        <v>529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Identificar níveis de organização dos seres vivos.</v>
      </c>
      <c r="L28" t="str">
        <f t="shared" si="5"/>
        <v>EF06CI01</v>
      </c>
    </row>
    <row r="29" spans="1:12" x14ac:dyDescent="0.25">
      <c r="A29" t="s">
        <v>484</v>
      </c>
      <c r="B29" t="s">
        <v>530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Compreender a célula como unidade da vida.</v>
      </c>
      <c r="L29" t="str">
        <f t="shared" si="5"/>
        <v>EF06CI02</v>
      </c>
    </row>
    <row r="30" spans="1:12" x14ac:dyDescent="0.25">
      <c r="A30" t="s">
        <v>485</v>
      </c>
      <c r="B30" t="s">
        <v>531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Reconhecer características dos seres vivos.</v>
      </c>
      <c r="L30" t="str">
        <f t="shared" si="5"/>
        <v>EF06CI03</v>
      </c>
    </row>
    <row r="31" spans="1:12" x14ac:dyDescent="0.25">
      <c r="A31" t="s">
        <v>486</v>
      </c>
      <c r="B31" t="s">
        <v>532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Identificar relações ecológicas.</v>
      </c>
      <c r="L31" t="str">
        <f t="shared" si="5"/>
        <v>EF06CI04</v>
      </c>
    </row>
    <row r="32" spans="1:12" x14ac:dyDescent="0.25">
      <c r="A32" t="s">
        <v>487</v>
      </c>
      <c r="B32" t="s">
        <v>533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Compreender cadeias alimentares.</v>
      </c>
      <c r="L32" t="str">
        <f t="shared" si="5"/>
        <v>EF06CI05</v>
      </c>
    </row>
    <row r="33" spans="1:12" x14ac:dyDescent="0.25">
      <c r="A33" t="s">
        <v>488</v>
      </c>
      <c r="B33" t="s">
        <v>534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Identificar componentes do sistema solar.</v>
      </c>
      <c r="L33" t="str">
        <f t="shared" si="5"/>
        <v>EF06CI06</v>
      </c>
    </row>
    <row r="34" spans="1:12" x14ac:dyDescent="0.25">
      <c r="A34" t="s">
        <v>489</v>
      </c>
      <c r="B34" t="s">
        <v>535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Reconhecer movimentos da Terra.</v>
      </c>
      <c r="L34" t="str">
        <f t="shared" si="5"/>
        <v>EF06CI07</v>
      </c>
    </row>
    <row r="35" spans="1:12" x14ac:dyDescent="0.25">
      <c r="A35" t="s">
        <v>490</v>
      </c>
      <c r="B35" t="s">
        <v>536</v>
      </c>
      <c r="D35" t="str">
        <f t="shared" si="0"/>
        <v>CI08</v>
      </c>
      <c r="E35" t="s">
        <v>550</v>
      </c>
      <c r="F35" t="s">
        <v>551</v>
      </c>
      <c r="G35" t="str">
        <f t="shared" si="1"/>
        <v>CI</v>
      </c>
      <c r="H35" t="str">
        <f t="shared" si="2"/>
        <v>Ciências</v>
      </c>
      <c r="J35" t="str">
        <f t="shared" si="3"/>
        <v>Ciências</v>
      </c>
      <c r="K35" t="str">
        <f t="shared" si="4"/>
        <v>Compreender fenômenos naturais.</v>
      </c>
      <c r="L35" t="str">
        <f t="shared" si="5"/>
        <v>EF06CI08</v>
      </c>
    </row>
    <row r="36" spans="1:12" x14ac:dyDescent="0.25">
      <c r="D36" t="str">
        <f t="shared" si="0"/>
        <v/>
      </c>
      <c r="E36" t="s">
        <v>550</v>
      </c>
      <c r="F36" t="s">
        <v>551</v>
      </c>
      <c r="G36" t="str">
        <f t="shared" si="1"/>
        <v/>
      </c>
      <c r="H36" t="e">
        <f t="shared" si="2"/>
        <v>#N/A</v>
      </c>
      <c r="J36" t="e">
        <f t="shared" si="3"/>
        <v>#N/A</v>
      </c>
      <c r="K36">
        <f t="shared" si="4"/>
        <v>0</v>
      </c>
      <c r="L36">
        <f t="shared" si="5"/>
        <v>0</v>
      </c>
    </row>
    <row r="37" spans="1:12" x14ac:dyDescent="0.25">
      <c r="A37" t="s">
        <v>491</v>
      </c>
      <c r="B37" t="s">
        <v>537</v>
      </c>
      <c r="D37" t="str">
        <f t="shared" si="0"/>
        <v>HI01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Compreender a noção de tempo histórico.</v>
      </c>
      <c r="L37" t="str">
        <f t="shared" si="5"/>
        <v>EF06HI01</v>
      </c>
    </row>
    <row r="38" spans="1:12" x14ac:dyDescent="0.25">
      <c r="A38" t="s">
        <v>492</v>
      </c>
      <c r="B38" t="s">
        <v>538</v>
      </c>
      <c r="D38" t="str">
        <f t="shared" si="0"/>
        <v>HI02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Identificar fontes históricas.</v>
      </c>
      <c r="L38" t="str">
        <f t="shared" si="5"/>
        <v>EF06HI02</v>
      </c>
    </row>
    <row r="39" spans="1:12" x14ac:dyDescent="0.25">
      <c r="A39" t="s">
        <v>493</v>
      </c>
      <c r="B39" t="s">
        <v>539</v>
      </c>
      <c r="D39" t="str">
        <f t="shared" si="0"/>
        <v>HI03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Reconhecer a importância das civilizações antigas.</v>
      </c>
      <c r="L39" t="str">
        <f t="shared" si="5"/>
        <v>EF06HI03</v>
      </c>
    </row>
    <row r="40" spans="1:12" x14ac:dyDescent="0.25">
      <c r="A40" t="s">
        <v>494</v>
      </c>
      <c r="B40" t="s">
        <v>540</v>
      </c>
      <c r="D40" t="str">
        <f t="shared" si="0"/>
        <v>HI04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Comparar diferentes sociedades antigas.</v>
      </c>
      <c r="L40" t="str">
        <f t="shared" si="5"/>
        <v>EF06HI04</v>
      </c>
    </row>
    <row r="41" spans="1:12" x14ac:dyDescent="0.25">
      <c r="A41" t="s">
        <v>495</v>
      </c>
      <c r="B41" t="s">
        <v>541</v>
      </c>
      <c r="D41" t="str">
        <f t="shared" si="0"/>
        <v>HI05</v>
      </c>
      <c r="E41" t="s">
        <v>550</v>
      </c>
      <c r="F41" t="s">
        <v>551</v>
      </c>
      <c r="G41" t="str">
        <f t="shared" si="1"/>
        <v>HI</v>
      </c>
      <c r="H41" t="str">
        <f t="shared" si="2"/>
        <v>História</v>
      </c>
      <c r="J41" t="str">
        <f t="shared" si="3"/>
        <v>História</v>
      </c>
      <c r="K41" t="str">
        <f t="shared" si="4"/>
        <v>Identificar aspectos culturais e sociais das civilizações.</v>
      </c>
      <c r="L41" t="str">
        <f t="shared" si="5"/>
        <v>EF06HI05</v>
      </c>
    </row>
    <row r="42" spans="1:12" x14ac:dyDescent="0.25">
      <c r="D42" t="str">
        <f t="shared" si="0"/>
        <v/>
      </c>
      <c r="E42" t="s">
        <v>550</v>
      </c>
      <c r="F42" t="s">
        <v>551</v>
      </c>
      <c r="G42" t="str">
        <f t="shared" si="1"/>
        <v/>
      </c>
      <c r="H42" t="e">
        <f t="shared" si="2"/>
        <v>#N/A</v>
      </c>
      <c r="J42" t="e">
        <f t="shared" si="3"/>
        <v>#N/A</v>
      </c>
      <c r="K42">
        <f t="shared" si="4"/>
        <v>0</v>
      </c>
      <c r="L42">
        <f t="shared" si="5"/>
        <v>0</v>
      </c>
    </row>
    <row r="43" spans="1:12" x14ac:dyDescent="0.25">
      <c r="A43" t="s">
        <v>496</v>
      </c>
      <c r="B43" t="s">
        <v>542</v>
      </c>
      <c r="D43" t="str">
        <f t="shared" si="0"/>
        <v>GE01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Identificar elementos do espaço geográfico.</v>
      </c>
      <c r="L43" t="str">
        <f t="shared" si="5"/>
        <v>EF06GE01</v>
      </c>
    </row>
    <row r="44" spans="1:12" x14ac:dyDescent="0.25">
      <c r="A44" t="s">
        <v>497</v>
      </c>
      <c r="B44" t="s">
        <v>91</v>
      </c>
      <c r="D44" t="str">
        <f t="shared" si="0"/>
        <v>GE02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Reconhecer diferentes paisagens.</v>
      </c>
      <c r="L44" t="str">
        <f t="shared" si="5"/>
        <v>EF06GE02</v>
      </c>
    </row>
    <row r="45" spans="1:12" x14ac:dyDescent="0.25">
      <c r="A45" t="s">
        <v>498</v>
      </c>
      <c r="B45" t="s">
        <v>450</v>
      </c>
      <c r="D45" t="str">
        <f t="shared" si="0"/>
        <v>GE03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Interpretar mapas e representações cartográficas.</v>
      </c>
      <c r="L45" t="str">
        <f t="shared" si="5"/>
        <v>EF06GE03</v>
      </c>
    </row>
    <row r="46" spans="1:12" x14ac:dyDescent="0.25">
      <c r="A46" t="s">
        <v>499</v>
      </c>
      <c r="B46" t="s">
        <v>543</v>
      </c>
      <c r="D46" t="str">
        <f t="shared" si="0"/>
        <v>GE04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Compreender a relação sociedade-natureza.</v>
      </c>
      <c r="L46" t="str">
        <f t="shared" si="5"/>
        <v>EF06GE04</v>
      </c>
    </row>
    <row r="47" spans="1:12" x14ac:dyDescent="0.25">
      <c r="A47" t="s">
        <v>500</v>
      </c>
      <c r="B47" t="s">
        <v>363</v>
      </c>
      <c r="D47" t="str">
        <f t="shared" si="0"/>
        <v>GE05</v>
      </c>
      <c r="E47" t="s">
        <v>550</v>
      </c>
      <c r="F47" t="s">
        <v>551</v>
      </c>
      <c r="G47" t="str">
        <f t="shared" si="1"/>
        <v>GE</v>
      </c>
      <c r="H47" t="str">
        <f t="shared" si="2"/>
        <v>Geografia</v>
      </c>
      <c r="J47" t="str">
        <f t="shared" si="3"/>
        <v>Geografia</v>
      </c>
      <c r="K47" t="str">
        <f t="shared" si="4"/>
        <v>Identificar atividades econômicas.</v>
      </c>
      <c r="L47" t="str">
        <f t="shared" si="5"/>
        <v>EF06GE05</v>
      </c>
    </row>
    <row r="48" spans="1:12" x14ac:dyDescent="0.25">
      <c r="D48" t="str">
        <f t="shared" si="0"/>
        <v/>
      </c>
      <c r="E48" t="s">
        <v>550</v>
      </c>
      <c r="F48" t="s">
        <v>551</v>
      </c>
      <c r="G48" t="str">
        <f t="shared" si="1"/>
        <v/>
      </c>
      <c r="H48" t="e">
        <f t="shared" si="2"/>
        <v>#N/A</v>
      </c>
      <c r="J48" t="e">
        <f t="shared" si="3"/>
        <v>#N/A</v>
      </c>
      <c r="K48">
        <f t="shared" si="4"/>
        <v>0</v>
      </c>
      <c r="L48">
        <f t="shared" si="5"/>
        <v>0</v>
      </c>
    </row>
    <row r="49" spans="1:12" x14ac:dyDescent="0.25">
      <c r="A49" t="s">
        <v>501</v>
      </c>
      <c r="B49" t="s">
        <v>185</v>
      </c>
      <c r="D49" t="str">
        <f t="shared" si="0"/>
        <v>AR01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Experimentar diferentes linguagens artísticas.</v>
      </c>
      <c r="L49" t="str">
        <f t="shared" si="5"/>
        <v>EF06AR01</v>
      </c>
    </row>
    <row r="50" spans="1:12" x14ac:dyDescent="0.25">
      <c r="A50" t="s">
        <v>502</v>
      </c>
      <c r="B50" t="s">
        <v>544</v>
      </c>
      <c r="D50" t="str">
        <f t="shared" si="0"/>
        <v>AR02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Analisar elementos das artes visuais.</v>
      </c>
      <c r="L50" t="str">
        <f t="shared" si="5"/>
        <v>EF06AR02</v>
      </c>
    </row>
    <row r="51" spans="1:12" x14ac:dyDescent="0.25">
      <c r="A51" t="s">
        <v>503</v>
      </c>
      <c r="B51" t="s">
        <v>222</v>
      </c>
      <c r="D51" t="str">
        <f t="shared" si="0"/>
        <v>AR03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Explorar sons e ritmos.</v>
      </c>
      <c r="L51" t="str">
        <f t="shared" si="5"/>
        <v>EF06AR03</v>
      </c>
    </row>
    <row r="52" spans="1:12" x14ac:dyDescent="0.25">
      <c r="A52" t="s">
        <v>504</v>
      </c>
      <c r="B52" t="s">
        <v>545</v>
      </c>
    </row>
    <row r="54" spans="1:12" x14ac:dyDescent="0.25">
      <c r="A54" t="s">
        <v>505</v>
      </c>
      <c r="B54" t="s">
        <v>546</v>
      </c>
    </row>
    <row r="55" spans="1:12" x14ac:dyDescent="0.25">
      <c r="A55" t="s">
        <v>506</v>
      </c>
      <c r="B55" t="s">
        <v>367</v>
      </c>
    </row>
    <row r="56" spans="1:12" x14ac:dyDescent="0.25">
      <c r="A56" t="s">
        <v>507</v>
      </c>
      <c r="B56" t="s">
        <v>368</v>
      </c>
    </row>
    <row r="57" spans="1:12" x14ac:dyDescent="0.25">
      <c r="A57" t="s">
        <v>508</v>
      </c>
      <c r="B57" t="s">
        <v>226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5794-3C23-40ED-8BA1-5C506160CB6A}">
  <dimension ref="A1:O56"/>
  <sheetViews>
    <sheetView topLeftCell="A15" workbookViewId="0">
      <selection activeCell="J2" sqref="J2:L51"/>
    </sheetView>
  </sheetViews>
  <sheetFormatPr defaultRowHeight="15" x14ac:dyDescent="0.25"/>
  <cols>
    <col min="1" max="1" width="9.7109375" bestFit="1" customWidth="1"/>
    <col min="2" max="2" width="53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563</v>
      </c>
      <c r="B2" t="s">
        <v>612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Identificar tema e tese em textos de diferentes gêneros.</v>
      </c>
      <c r="L2" t="str">
        <f>A2</f>
        <v>EF07LP01</v>
      </c>
    </row>
    <row r="3" spans="1:15" x14ac:dyDescent="0.25">
      <c r="A3" t="s">
        <v>564</v>
      </c>
      <c r="B3" t="s">
        <v>419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Localizar e comparar informações em textos.</v>
      </c>
      <c r="L3" t="str">
        <f t="shared" ref="L3:L51" si="5">A3</f>
        <v>EF07LP02</v>
      </c>
    </row>
    <row r="4" spans="1:15" x14ac:dyDescent="0.25">
      <c r="A4" t="s">
        <v>565</v>
      </c>
      <c r="B4" t="s">
        <v>192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em textos.</v>
      </c>
      <c r="L4" t="str">
        <f t="shared" si="5"/>
        <v>EF07LP03</v>
      </c>
    </row>
    <row r="5" spans="1:15" x14ac:dyDescent="0.25">
      <c r="A5" t="s">
        <v>566</v>
      </c>
      <c r="B5" t="s">
        <v>613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Analisar a finalidade e o público-alvo de textos.</v>
      </c>
      <c r="L5" t="str">
        <f t="shared" si="5"/>
        <v>EF07LP04</v>
      </c>
    </row>
    <row r="6" spans="1:15" x14ac:dyDescent="0.25">
      <c r="A6" t="s">
        <v>567</v>
      </c>
      <c r="B6" t="s">
        <v>614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Analisar elementos da narrativa e seus efeitos de sentido.</v>
      </c>
      <c r="L6" t="str">
        <f t="shared" si="5"/>
        <v>EF07LP05</v>
      </c>
      <c r="N6" t="s">
        <v>552</v>
      </c>
      <c r="O6" t="s">
        <v>553</v>
      </c>
    </row>
    <row r="7" spans="1:15" x14ac:dyDescent="0.25">
      <c r="A7" t="s">
        <v>568</v>
      </c>
      <c r="B7" t="s">
        <v>615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Comparar diferentes pontos de vista em textos.</v>
      </c>
      <c r="L7" t="str">
        <f t="shared" si="5"/>
        <v>EF07LP06</v>
      </c>
      <c r="N7" t="s">
        <v>104</v>
      </c>
      <c r="O7" t="s">
        <v>105</v>
      </c>
    </row>
    <row r="8" spans="1:15" x14ac:dyDescent="0.25">
      <c r="A8" t="s">
        <v>569</v>
      </c>
      <c r="B8" t="s">
        <v>616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Planejar e produzir textos argumentativos e narrativos.</v>
      </c>
      <c r="L8" t="str">
        <f t="shared" si="5"/>
        <v>EF07LP07</v>
      </c>
      <c r="N8" t="s">
        <v>554</v>
      </c>
      <c r="O8" t="s">
        <v>555</v>
      </c>
    </row>
    <row r="9" spans="1:15" x14ac:dyDescent="0.25">
      <c r="A9" t="s">
        <v>570</v>
      </c>
      <c r="B9" t="s">
        <v>617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Revisar textos quanto à coerência, coesão e adequação.</v>
      </c>
      <c r="L9" t="str">
        <f t="shared" si="5"/>
        <v>EF07LP08</v>
      </c>
      <c r="N9" t="s">
        <v>556</v>
      </c>
      <c r="O9" t="s">
        <v>557</v>
      </c>
    </row>
    <row r="10" spans="1:15" x14ac:dyDescent="0.25">
      <c r="A10" t="s">
        <v>571</v>
      </c>
      <c r="B10" t="s">
        <v>618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Utilizar recursos linguísticos e gramaticais adequados.</v>
      </c>
      <c r="L10" t="str">
        <f t="shared" si="5"/>
        <v>EF07LP09</v>
      </c>
      <c r="N10" t="s">
        <v>558</v>
      </c>
      <c r="O10" t="s">
        <v>559</v>
      </c>
    </row>
    <row r="11" spans="1:15" x14ac:dyDescent="0.25">
      <c r="A11" t="s">
        <v>572</v>
      </c>
      <c r="B11" t="s">
        <v>619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Reconhecer efeitos de sentido em figuras de linguagem.</v>
      </c>
      <c r="L11" t="str">
        <f t="shared" si="5"/>
        <v>EF07LP10</v>
      </c>
      <c r="N11" t="s">
        <v>560</v>
      </c>
      <c r="O11" t="s">
        <v>561</v>
      </c>
    </row>
    <row r="12" spans="1:15" x14ac:dyDescent="0.25">
      <c r="A12" t="s">
        <v>573</v>
      </c>
      <c r="B12" t="s">
        <v>620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Identificar vozes e discursos em textos.</v>
      </c>
      <c r="L12" t="str">
        <f t="shared" si="5"/>
        <v>EF07LP11</v>
      </c>
      <c r="N12" t="s">
        <v>103</v>
      </c>
      <c r="O12" t="s">
        <v>562</v>
      </c>
    </row>
    <row r="13" spans="1:15" x14ac:dyDescent="0.25">
      <c r="A13" t="s">
        <v>574</v>
      </c>
      <c r="B13" t="s">
        <v>621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Participar de práticas de leitura, escrita e oralidade.</v>
      </c>
      <c r="L13" t="str">
        <f t="shared" si="5"/>
        <v>EF07LP12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575</v>
      </c>
      <c r="B15" t="s">
        <v>622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Resolver e elaborar problemas com números inteiros.</v>
      </c>
      <c r="L15" t="str">
        <f t="shared" si="5"/>
        <v>EF07MA01</v>
      </c>
    </row>
    <row r="16" spans="1:15" x14ac:dyDescent="0.25">
      <c r="A16" t="s">
        <v>576</v>
      </c>
      <c r="B16" t="s">
        <v>623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Compreender operações com números inteiros.</v>
      </c>
      <c r="L16" t="str">
        <f t="shared" si="5"/>
        <v>EF07MA02</v>
      </c>
    </row>
    <row r="17" spans="1:12" x14ac:dyDescent="0.25">
      <c r="A17" t="s">
        <v>577</v>
      </c>
      <c r="B17" t="s">
        <v>522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problemas com números racionais.</v>
      </c>
      <c r="L17" t="str">
        <f t="shared" si="5"/>
        <v>EF07MA03</v>
      </c>
    </row>
    <row r="18" spans="1:12" x14ac:dyDescent="0.25">
      <c r="A18" t="s">
        <v>578</v>
      </c>
      <c r="B18" t="s">
        <v>624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Compreender porcentagens e suas aplicações.</v>
      </c>
      <c r="L18" t="str">
        <f t="shared" si="5"/>
        <v>EF07MA04</v>
      </c>
    </row>
    <row r="19" spans="1:12" x14ac:dyDescent="0.25">
      <c r="A19" t="s">
        <v>579</v>
      </c>
      <c r="B19" t="s">
        <v>625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Resolver problemas envolvendo razão e proporção.</v>
      </c>
      <c r="L19" t="str">
        <f t="shared" si="5"/>
        <v>EF07MA05</v>
      </c>
    </row>
    <row r="20" spans="1:12" x14ac:dyDescent="0.25">
      <c r="A20" t="s">
        <v>580</v>
      </c>
      <c r="B20" t="s">
        <v>626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Identificar expressões algébricas.</v>
      </c>
      <c r="L20" t="str">
        <f t="shared" si="5"/>
        <v>EF07MA06</v>
      </c>
    </row>
    <row r="21" spans="1:12" x14ac:dyDescent="0.25">
      <c r="A21" t="s">
        <v>581</v>
      </c>
      <c r="B21" t="s">
        <v>627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Resolver equações do 1º grau.</v>
      </c>
      <c r="L21" t="str">
        <f t="shared" si="5"/>
        <v>EF07MA07</v>
      </c>
    </row>
    <row r="22" spans="1:12" x14ac:dyDescent="0.25">
      <c r="A22" t="s">
        <v>582</v>
      </c>
      <c r="B22" t="s">
        <v>628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Reconhecer e representar figuras geométricas.</v>
      </c>
      <c r="L22" t="str">
        <f t="shared" si="5"/>
        <v>EF07MA08</v>
      </c>
    </row>
    <row r="23" spans="1:12" x14ac:dyDescent="0.25">
      <c r="A23" t="s">
        <v>583</v>
      </c>
      <c r="B23" t="s">
        <v>629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Calcular área e perímetro de figuras planas.</v>
      </c>
      <c r="L23" t="str">
        <f t="shared" si="5"/>
        <v>EF07MA09</v>
      </c>
    </row>
    <row r="24" spans="1:12" x14ac:dyDescent="0.25">
      <c r="A24" t="s">
        <v>584</v>
      </c>
      <c r="B24" t="s">
        <v>526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Resolver problemas envolvendo medidas.</v>
      </c>
      <c r="L24" t="str">
        <f t="shared" si="5"/>
        <v>EF07MA10</v>
      </c>
    </row>
    <row r="25" spans="1:12" x14ac:dyDescent="0.25">
      <c r="A25" t="s">
        <v>585</v>
      </c>
      <c r="B25" t="s">
        <v>350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Interpretar e construir gráficos e tabelas.</v>
      </c>
      <c r="L25" t="str">
        <f t="shared" si="5"/>
        <v>EF07MA11</v>
      </c>
    </row>
    <row r="26" spans="1:12" x14ac:dyDescent="0.25">
      <c r="A26" t="s">
        <v>586</v>
      </c>
      <c r="B26" t="s">
        <v>527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Identificar padrões e regularidades.</v>
      </c>
      <c r="L26" t="str">
        <f t="shared" si="5"/>
        <v>EF07MA12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587</v>
      </c>
      <c r="B28" t="s">
        <v>630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Compreender a organização dos seres vivos.</v>
      </c>
      <c r="L28" t="str">
        <f t="shared" si="5"/>
        <v>EF07CI01</v>
      </c>
    </row>
    <row r="29" spans="1:12" x14ac:dyDescent="0.25">
      <c r="A29" t="s">
        <v>588</v>
      </c>
      <c r="B29" t="s">
        <v>351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Identificar características dos ecossistemas.</v>
      </c>
      <c r="L29" t="str">
        <f t="shared" si="5"/>
        <v>EF07CI02</v>
      </c>
    </row>
    <row r="30" spans="1:12" x14ac:dyDescent="0.25">
      <c r="A30" t="s">
        <v>589</v>
      </c>
      <c r="B30" t="s">
        <v>631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Analisar cadeias e teias alimentares.</v>
      </c>
      <c r="L30" t="str">
        <f t="shared" si="5"/>
        <v>EF07CI03</v>
      </c>
    </row>
    <row r="31" spans="1:12" x14ac:dyDescent="0.25">
      <c r="A31" t="s">
        <v>590</v>
      </c>
      <c r="B31" t="s">
        <v>632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Compreender a dinâmica da Terra.</v>
      </c>
      <c r="L31" t="str">
        <f t="shared" si="5"/>
        <v>EF07CI04</v>
      </c>
    </row>
    <row r="32" spans="1:12" x14ac:dyDescent="0.25">
      <c r="A32" t="s">
        <v>591</v>
      </c>
      <c r="B32" t="s">
        <v>633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Identificar fenômenos naturais.</v>
      </c>
      <c r="L32" t="str">
        <f t="shared" si="5"/>
        <v>EF07CI05</v>
      </c>
    </row>
    <row r="33" spans="1:12" x14ac:dyDescent="0.25">
      <c r="A33" t="s">
        <v>592</v>
      </c>
      <c r="B33" t="s">
        <v>634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Reconhecer transformações da matéria.</v>
      </c>
      <c r="L33" t="str">
        <f t="shared" si="5"/>
        <v>EF07CI06</v>
      </c>
    </row>
    <row r="34" spans="1:12" x14ac:dyDescent="0.25">
      <c r="A34" t="s">
        <v>593</v>
      </c>
      <c r="B34" t="s">
        <v>635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Compreender fontes e tipos de energia.</v>
      </c>
      <c r="L34" t="str">
        <f t="shared" si="5"/>
        <v>EF07CI07</v>
      </c>
    </row>
    <row r="35" spans="1:12" x14ac:dyDescent="0.25">
      <c r="D35" t="str">
        <f t="shared" si="0"/>
        <v/>
      </c>
      <c r="E35" t="s">
        <v>550</v>
      </c>
      <c r="F35" t="s">
        <v>551</v>
      </c>
      <c r="G35" t="str">
        <f t="shared" si="1"/>
        <v/>
      </c>
      <c r="H35" t="e">
        <f t="shared" si="2"/>
        <v>#N/A</v>
      </c>
      <c r="J35" t="e">
        <f t="shared" si="3"/>
        <v>#N/A</v>
      </c>
      <c r="K35">
        <f t="shared" si="4"/>
        <v>0</v>
      </c>
      <c r="L35">
        <f t="shared" si="5"/>
        <v>0</v>
      </c>
    </row>
    <row r="36" spans="1:12" x14ac:dyDescent="0.25">
      <c r="A36" t="s">
        <v>594</v>
      </c>
      <c r="B36" t="s">
        <v>636</v>
      </c>
      <c r="D36" t="str">
        <f t="shared" si="0"/>
        <v>HI01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Compreender processos históricos e sociais.</v>
      </c>
      <c r="L36" t="str">
        <f t="shared" si="5"/>
        <v>EF07HI01</v>
      </c>
    </row>
    <row r="37" spans="1:12" x14ac:dyDescent="0.25">
      <c r="A37" t="s">
        <v>595</v>
      </c>
      <c r="B37" t="s">
        <v>637</v>
      </c>
      <c r="D37" t="str">
        <f t="shared" si="0"/>
        <v>HI02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Identificar transformações ao longo do tempo.</v>
      </c>
      <c r="L37" t="str">
        <f t="shared" si="5"/>
        <v>EF07HI02</v>
      </c>
    </row>
    <row r="38" spans="1:12" x14ac:dyDescent="0.25">
      <c r="A38" t="s">
        <v>596</v>
      </c>
      <c r="B38" t="s">
        <v>638</v>
      </c>
      <c r="D38" t="str">
        <f t="shared" si="0"/>
        <v>HI03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Reconhecer a formação de sociedades.</v>
      </c>
      <c r="L38" t="str">
        <f t="shared" si="5"/>
        <v>EF07HI03</v>
      </c>
    </row>
    <row r="39" spans="1:12" x14ac:dyDescent="0.25">
      <c r="A39" t="s">
        <v>597</v>
      </c>
      <c r="B39" t="s">
        <v>639</v>
      </c>
      <c r="D39" t="str">
        <f t="shared" si="0"/>
        <v>HI04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Analisar diferentes culturas.</v>
      </c>
      <c r="L39" t="str">
        <f t="shared" si="5"/>
        <v>EF07HI04</v>
      </c>
    </row>
    <row r="40" spans="1:12" x14ac:dyDescent="0.25">
      <c r="A40" t="s">
        <v>598</v>
      </c>
      <c r="B40" t="s">
        <v>215</v>
      </c>
      <c r="D40" t="str">
        <f t="shared" si="0"/>
        <v>HI05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Valorizar a diversidade cultural.</v>
      </c>
      <c r="L40" t="str">
        <f t="shared" si="5"/>
        <v>EF07HI05</v>
      </c>
    </row>
    <row r="41" spans="1:12" x14ac:dyDescent="0.25">
      <c r="D41" t="str">
        <f t="shared" si="0"/>
        <v/>
      </c>
      <c r="E41" t="s">
        <v>550</v>
      </c>
      <c r="F41" t="s">
        <v>551</v>
      </c>
      <c r="G41" t="str">
        <f t="shared" si="1"/>
        <v/>
      </c>
      <c r="H41" t="e">
        <f t="shared" si="2"/>
        <v>#N/A</v>
      </c>
      <c r="J41" t="e">
        <f t="shared" si="3"/>
        <v>#N/A</v>
      </c>
      <c r="K41">
        <f t="shared" si="4"/>
        <v>0</v>
      </c>
      <c r="L41">
        <f t="shared" si="5"/>
        <v>0</v>
      </c>
    </row>
    <row r="42" spans="1:12" x14ac:dyDescent="0.25">
      <c r="A42" t="s">
        <v>599</v>
      </c>
      <c r="B42" t="s">
        <v>542</v>
      </c>
      <c r="D42" t="str">
        <f t="shared" si="0"/>
        <v>GE01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Identificar elementos do espaço geográfico.</v>
      </c>
      <c r="L42" t="str">
        <f t="shared" si="5"/>
        <v>EF07GE01</v>
      </c>
    </row>
    <row r="43" spans="1:12" x14ac:dyDescent="0.25">
      <c r="A43" t="s">
        <v>600</v>
      </c>
      <c r="B43" t="s">
        <v>640</v>
      </c>
      <c r="D43" t="str">
        <f t="shared" si="0"/>
        <v>GE02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Analisar paisagens naturais e modificadas.</v>
      </c>
      <c r="L43" t="str">
        <f t="shared" si="5"/>
        <v>EF07GE02</v>
      </c>
    </row>
    <row r="44" spans="1:12" x14ac:dyDescent="0.25">
      <c r="A44" t="s">
        <v>601</v>
      </c>
      <c r="B44" t="s">
        <v>641</v>
      </c>
      <c r="D44" t="str">
        <f t="shared" si="0"/>
        <v>GE03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Interpretar mapas e gráficos.</v>
      </c>
      <c r="L44" t="str">
        <f t="shared" si="5"/>
        <v>EF07GE03</v>
      </c>
    </row>
    <row r="45" spans="1:12" x14ac:dyDescent="0.25">
      <c r="A45" t="s">
        <v>602</v>
      </c>
      <c r="B45" t="s">
        <v>543</v>
      </c>
      <c r="D45" t="str">
        <f t="shared" si="0"/>
        <v>GE04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Compreender a relação sociedade-natureza.</v>
      </c>
      <c r="L45" t="str">
        <f t="shared" si="5"/>
        <v>EF07GE04</v>
      </c>
    </row>
    <row r="46" spans="1:12" x14ac:dyDescent="0.25">
      <c r="A46" t="s">
        <v>603</v>
      </c>
      <c r="B46" t="s">
        <v>363</v>
      </c>
      <c r="D46" t="str">
        <f t="shared" si="0"/>
        <v>GE05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Identificar atividades econômicas.</v>
      </c>
      <c r="L46" t="str">
        <f t="shared" si="5"/>
        <v>EF07GE05</v>
      </c>
    </row>
    <row r="47" spans="1:12" x14ac:dyDescent="0.25">
      <c r="D47" t="str">
        <f t="shared" si="0"/>
        <v/>
      </c>
      <c r="E47" t="s">
        <v>550</v>
      </c>
      <c r="F47" t="s">
        <v>551</v>
      </c>
      <c r="G47" t="str">
        <f t="shared" si="1"/>
        <v/>
      </c>
      <c r="H47" t="e">
        <f t="shared" si="2"/>
        <v>#N/A</v>
      </c>
      <c r="J47" t="e">
        <f t="shared" si="3"/>
        <v>#N/A</v>
      </c>
      <c r="K47">
        <f t="shared" si="4"/>
        <v>0</v>
      </c>
      <c r="L47">
        <f t="shared" si="5"/>
        <v>0</v>
      </c>
    </row>
    <row r="48" spans="1:12" x14ac:dyDescent="0.25">
      <c r="A48" t="s">
        <v>604</v>
      </c>
      <c r="B48" t="s">
        <v>185</v>
      </c>
      <c r="D48" t="str">
        <f t="shared" si="0"/>
        <v>AR01</v>
      </c>
      <c r="E48" t="s">
        <v>550</v>
      </c>
      <c r="F48" t="s">
        <v>551</v>
      </c>
      <c r="G48" t="str">
        <f t="shared" si="1"/>
        <v>AR</v>
      </c>
      <c r="H48" t="str">
        <f t="shared" si="2"/>
        <v>Arte</v>
      </c>
      <c r="J48" t="str">
        <f t="shared" si="3"/>
        <v>Arte</v>
      </c>
      <c r="K48" t="str">
        <f t="shared" si="4"/>
        <v>Experimentar diferentes linguagens artísticas.</v>
      </c>
      <c r="L48" t="str">
        <f t="shared" si="5"/>
        <v>EF07AR01</v>
      </c>
    </row>
    <row r="49" spans="1:12" x14ac:dyDescent="0.25">
      <c r="A49" t="s">
        <v>605</v>
      </c>
      <c r="B49" t="s">
        <v>544</v>
      </c>
      <c r="D49" t="str">
        <f t="shared" si="0"/>
        <v>AR02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Analisar elementos das artes visuais.</v>
      </c>
      <c r="L49" t="str">
        <f t="shared" si="5"/>
        <v>EF07AR02</v>
      </c>
    </row>
    <row r="50" spans="1:12" x14ac:dyDescent="0.25">
      <c r="A50" t="s">
        <v>606</v>
      </c>
      <c r="B50" t="s">
        <v>642</v>
      </c>
      <c r="D50" t="str">
        <f t="shared" si="0"/>
        <v>AR03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Explorar sons, ritmos e composições.</v>
      </c>
      <c r="L50" t="str">
        <f t="shared" si="5"/>
        <v>EF07AR03</v>
      </c>
    </row>
    <row r="51" spans="1:12" x14ac:dyDescent="0.25">
      <c r="A51" t="s">
        <v>607</v>
      </c>
      <c r="B51" t="s">
        <v>545</v>
      </c>
      <c r="D51" t="str">
        <f t="shared" si="0"/>
        <v>AR04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Expressar-se corporalmente.</v>
      </c>
      <c r="L51" t="str">
        <f t="shared" si="5"/>
        <v>EF07AR04</v>
      </c>
    </row>
    <row r="53" spans="1:12" x14ac:dyDescent="0.25">
      <c r="A53" t="s">
        <v>608</v>
      </c>
      <c r="B53" t="s">
        <v>546</v>
      </c>
    </row>
    <row r="54" spans="1:12" x14ac:dyDescent="0.25">
      <c r="A54" t="s">
        <v>609</v>
      </c>
      <c r="B54" t="s">
        <v>367</v>
      </c>
    </row>
    <row r="55" spans="1:12" x14ac:dyDescent="0.25">
      <c r="A55" t="s">
        <v>610</v>
      </c>
      <c r="B55" t="s">
        <v>643</v>
      </c>
    </row>
    <row r="56" spans="1:12" x14ac:dyDescent="0.25">
      <c r="A56" t="s">
        <v>611</v>
      </c>
      <c r="B56" t="s">
        <v>226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584A-DC01-4416-AE19-133EE77765F8}">
  <dimension ref="A1:O56"/>
  <sheetViews>
    <sheetView topLeftCell="A15" workbookViewId="0">
      <selection activeCell="J2" sqref="J2:L51"/>
    </sheetView>
  </sheetViews>
  <sheetFormatPr defaultColWidth="9.42578125" defaultRowHeight="15" x14ac:dyDescent="0.25"/>
  <cols>
    <col min="1" max="1" width="9.7109375" bestFit="1" customWidth="1"/>
    <col min="2" max="2" width="61.710937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9" max="9" width="9.140625"/>
    <col min="10" max="10" width="17.5703125" bestFit="1" customWidth="1"/>
    <col min="11" max="11" width="86.85546875" bestFit="1" customWidth="1"/>
    <col min="12" max="12" width="9.7109375" bestFit="1" customWidth="1"/>
    <col min="13" max="13" width="9.140625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644</v>
      </c>
      <c r="B2" t="s">
        <v>693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Identificar e analisar tema, tese e argumentos em textos.</v>
      </c>
      <c r="L2" t="str">
        <f>A2</f>
        <v>EF08LP01</v>
      </c>
    </row>
    <row r="3" spans="1:15" x14ac:dyDescent="0.25">
      <c r="A3" t="s">
        <v>645</v>
      </c>
      <c r="B3" t="s">
        <v>694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Localizar e comparar informações em textos de diferentes fontes.</v>
      </c>
      <c r="L3" t="str">
        <f t="shared" ref="L3:L51" si="5">A3</f>
        <v>EF08LP02</v>
      </c>
    </row>
    <row r="4" spans="1:15" x14ac:dyDescent="0.25">
      <c r="A4" t="s">
        <v>646</v>
      </c>
      <c r="B4" t="s">
        <v>695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 pressupostos em textos.</v>
      </c>
      <c r="L4" t="str">
        <f t="shared" si="5"/>
        <v>EF08LP03</v>
      </c>
    </row>
    <row r="5" spans="1:15" x14ac:dyDescent="0.25">
      <c r="A5" t="s">
        <v>647</v>
      </c>
      <c r="B5" t="s">
        <v>613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Analisar a finalidade e o público-alvo de textos.</v>
      </c>
      <c r="L5" t="str">
        <f t="shared" si="5"/>
        <v>EF08LP04</v>
      </c>
    </row>
    <row r="6" spans="1:15" x14ac:dyDescent="0.25">
      <c r="A6" t="s">
        <v>648</v>
      </c>
      <c r="B6" t="s">
        <v>696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Avaliar a consistência de argumentos em textos.</v>
      </c>
      <c r="L6" t="str">
        <f t="shared" si="5"/>
        <v>EF08LP05</v>
      </c>
      <c r="N6" t="s">
        <v>552</v>
      </c>
      <c r="O6" t="s">
        <v>553</v>
      </c>
    </row>
    <row r="7" spans="1:15" x14ac:dyDescent="0.25">
      <c r="A7" t="s">
        <v>649</v>
      </c>
      <c r="B7" t="s">
        <v>697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Comparar diferentes pontos de vista sobre um tema.</v>
      </c>
      <c r="L7" t="str">
        <f t="shared" si="5"/>
        <v>EF08LP06</v>
      </c>
      <c r="N7" t="s">
        <v>104</v>
      </c>
      <c r="O7" t="s">
        <v>105</v>
      </c>
    </row>
    <row r="8" spans="1:15" x14ac:dyDescent="0.25">
      <c r="A8" t="s">
        <v>650</v>
      </c>
      <c r="B8" t="s">
        <v>698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Planejar e produzir textos argumentativos.</v>
      </c>
      <c r="L8" t="str">
        <f t="shared" si="5"/>
        <v>EF08LP07</v>
      </c>
      <c r="N8" t="s">
        <v>554</v>
      </c>
      <c r="O8" t="s">
        <v>555</v>
      </c>
    </row>
    <row r="9" spans="1:15" x14ac:dyDescent="0.25">
      <c r="A9" t="s">
        <v>651</v>
      </c>
      <c r="B9" t="s">
        <v>513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Revisar textos quanto à coerência, coesão e adequação linguística.</v>
      </c>
      <c r="L9" t="str">
        <f t="shared" si="5"/>
        <v>EF08LP08</v>
      </c>
      <c r="N9" t="s">
        <v>556</v>
      </c>
      <c r="O9" t="s">
        <v>557</v>
      </c>
    </row>
    <row r="10" spans="1:15" x14ac:dyDescent="0.25">
      <c r="A10" t="s">
        <v>652</v>
      </c>
      <c r="B10" t="s">
        <v>699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Utilizar recursos linguísticos e gramaticais de forma adequada.</v>
      </c>
      <c r="L10" t="str">
        <f t="shared" si="5"/>
        <v>EF08LP09</v>
      </c>
      <c r="N10" t="s">
        <v>558</v>
      </c>
      <c r="O10" t="s">
        <v>559</v>
      </c>
    </row>
    <row r="11" spans="1:15" x14ac:dyDescent="0.25">
      <c r="A11" t="s">
        <v>653</v>
      </c>
      <c r="B11" t="s">
        <v>700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Analisar efeitos de sentido em figuras de linguagem.</v>
      </c>
      <c r="L11" t="str">
        <f t="shared" si="5"/>
        <v>EF08LP10</v>
      </c>
      <c r="N11" t="s">
        <v>560</v>
      </c>
      <c r="O11" t="s">
        <v>561</v>
      </c>
    </row>
    <row r="12" spans="1:15" x14ac:dyDescent="0.25">
      <c r="A12" t="s">
        <v>654</v>
      </c>
      <c r="B12" t="s">
        <v>620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Identificar vozes e discursos em textos.</v>
      </c>
      <c r="L12" t="str">
        <f t="shared" si="5"/>
        <v>EF08LP11</v>
      </c>
      <c r="N12" t="s">
        <v>103</v>
      </c>
      <c r="O12" t="s">
        <v>562</v>
      </c>
    </row>
    <row r="13" spans="1:15" x14ac:dyDescent="0.25">
      <c r="A13" t="s">
        <v>655</v>
      </c>
      <c r="B13" t="s">
        <v>621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Participar de práticas de leitura, escrita e oralidade.</v>
      </c>
      <c r="L13" t="str">
        <f t="shared" si="5"/>
        <v>EF08LP12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656</v>
      </c>
      <c r="B15" t="s">
        <v>701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Resolver e elaborar problemas com números racionais.</v>
      </c>
      <c r="L15" t="str">
        <f t="shared" si="5"/>
        <v>EF08MA01</v>
      </c>
    </row>
    <row r="16" spans="1:15" x14ac:dyDescent="0.25">
      <c r="A16" t="s">
        <v>657</v>
      </c>
      <c r="B16" t="s">
        <v>702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Compreender operações com números racionais.</v>
      </c>
      <c r="L16" t="str">
        <f t="shared" si="5"/>
        <v>EF08MA02</v>
      </c>
    </row>
    <row r="17" spans="1:12" x14ac:dyDescent="0.25">
      <c r="A17" t="s">
        <v>658</v>
      </c>
      <c r="B17" t="s">
        <v>703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problemas envolvendo porcentagens.</v>
      </c>
      <c r="L17" t="str">
        <f t="shared" si="5"/>
        <v>EF08MA03</v>
      </c>
    </row>
    <row r="18" spans="1:12" x14ac:dyDescent="0.25">
      <c r="A18" t="s">
        <v>659</v>
      </c>
      <c r="B18" t="s">
        <v>625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Resolver problemas envolvendo razão e proporção.</v>
      </c>
      <c r="L18" t="str">
        <f t="shared" si="5"/>
        <v>EF08MA04</v>
      </c>
    </row>
    <row r="19" spans="1:12" x14ac:dyDescent="0.25">
      <c r="A19" t="s">
        <v>660</v>
      </c>
      <c r="B19" t="s">
        <v>704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Compreender expressões algébricas.</v>
      </c>
      <c r="L19" t="str">
        <f t="shared" si="5"/>
        <v>EF08MA05</v>
      </c>
    </row>
    <row r="20" spans="1:12" x14ac:dyDescent="0.25">
      <c r="A20" t="s">
        <v>661</v>
      </c>
      <c r="B20" t="s">
        <v>627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Resolver equações do 1º grau.</v>
      </c>
      <c r="L20" t="str">
        <f t="shared" si="5"/>
        <v>EF08MA06</v>
      </c>
    </row>
    <row r="21" spans="1:12" x14ac:dyDescent="0.25">
      <c r="A21" t="s">
        <v>662</v>
      </c>
      <c r="B21" t="s">
        <v>705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Resolver sistemas de equações simples.</v>
      </c>
      <c r="L21" t="str">
        <f t="shared" si="5"/>
        <v>EF08MA07</v>
      </c>
    </row>
    <row r="22" spans="1:12" x14ac:dyDescent="0.25">
      <c r="A22" t="s">
        <v>663</v>
      </c>
      <c r="B22" t="s">
        <v>628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Reconhecer e representar figuras geométricas.</v>
      </c>
      <c r="L22" t="str">
        <f t="shared" si="5"/>
        <v>EF08MA08</v>
      </c>
    </row>
    <row r="23" spans="1:12" x14ac:dyDescent="0.25">
      <c r="A23" t="s">
        <v>664</v>
      </c>
      <c r="B23" t="s">
        <v>629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Calcular área e perímetro de figuras planas.</v>
      </c>
      <c r="L23" t="str">
        <f t="shared" si="5"/>
        <v>EF08MA09</v>
      </c>
    </row>
    <row r="24" spans="1:12" x14ac:dyDescent="0.25">
      <c r="A24" t="s">
        <v>665</v>
      </c>
      <c r="B24" t="s">
        <v>526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Resolver problemas envolvendo medidas.</v>
      </c>
      <c r="L24" t="str">
        <f t="shared" si="5"/>
        <v>EF08MA10</v>
      </c>
    </row>
    <row r="25" spans="1:12" x14ac:dyDescent="0.25">
      <c r="A25" t="s">
        <v>666</v>
      </c>
      <c r="B25" t="s">
        <v>350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Interpretar e construir gráficos e tabelas.</v>
      </c>
      <c r="L25" t="str">
        <f t="shared" si="5"/>
        <v>EF08MA11</v>
      </c>
    </row>
    <row r="26" spans="1:12" x14ac:dyDescent="0.25">
      <c r="A26" t="s">
        <v>667</v>
      </c>
      <c r="B26" t="s">
        <v>527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Identificar padrões e regularidades.</v>
      </c>
      <c r="L26" t="str">
        <f t="shared" si="5"/>
        <v>EF08MA12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668</v>
      </c>
      <c r="B28" t="s">
        <v>630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Compreender a organização dos seres vivos.</v>
      </c>
      <c r="L28" t="str">
        <f t="shared" si="5"/>
        <v>EF08CI01</v>
      </c>
    </row>
    <row r="29" spans="1:12" x14ac:dyDescent="0.25">
      <c r="A29" t="s">
        <v>669</v>
      </c>
      <c r="B29" t="s">
        <v>706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Analisar relações ecológicas.</v>
      </c>
      <c r="L29" t="str">
        <f t="shared" si="5"/>
        <v>EF08CI02</v>
      </c>
    </row>
    <row r="30" spans="1:12" x14ac:dyDescent="0.25">
      <c r="A30" t="s">
        <v>670</v>
      </c>
      <c r="B30" t="s">
        <v>707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Compreender cadeias e teias alimentares.</v>
      </c>
      <c r="L30" t="str">
        <f t="shared" si="5"/>
        <v>EF08CI03</v>
      </c>
    </row>
    <row r="31" spans="1:12" x14ac:dyDescent="0.25">
      <c r="A31" t="s">
        <v>671</v>
      </c>
      <c r="B31" t="s">
        <v>708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Identificar transformações químicas e físicas.</v>
      </c>
      <c r="L31" t="str">
        <f t="shared" si="5"/>
        <v>EF08CI04</v>
      </c>
    </row>
    <row r="32" spans="1:12" x14ac:dyDescent="0.25">
      <c r="A32" t="s">
        <v>672</v>
      </c>
      <c r="B32" t="s">
        <v>709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Compreender fontes e formas de energia.</v>
      </c>
      <c r="L32" t="str">
        <f t="shared" si="5"/>
        <v>EF08CI05</v>
      </c>
    </row>
    <row r="33" spans="1:12" x14ac:dyDescent="0.25">
      <c r="A33" t="s">
        <v>673</v>
      </c>
      <c r="B33" t="s">
        <v>710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Analisar impactos ambientais.</v>
      </c>
      <c r="L33" t="str">
        <f t="shared" si="5"/>
        <v>EF08CI06</v>
      </c>
    </row>
    <row r="34" spans="1:12" x14ac:dyDescent="0.25">
      <c r="A34" t="s">
        <v>674</v>
      </c>
      <c r="B34" t="s">
        <v>536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Compreender fenômenos naturais.</v>
      </c>
      <c r="L34" t="str">
        <f t="shared" si="5"/>
        <v>EF08CI07</v>
      </c>
    </row>
    <row r="35" spans="1:12" x14ac:dyDescent="0.25">
      <c r="D35" t="str">
        <f t="shared" si="0"/>
        <v/>
      </c>
      <c r="E35" t="s">
        <v>550</v>
      </c>
      <c r="F35" t="s">
        <v>551</v>
      </c>
      <c r="G35" t="str">
        <f t="shared" si="1"/>
        <v/>
      </c>
      <c r="H35" t="e">
        <f t="shared" si="2"/>
        <v>#N/A</v>
      </c>
      <c r="J35" t="e">
        <f t="shared" si="3"/>
        <v>#N/A</v>
      </c>
      <c r="K35">
        <f t="shared" si="4"/>
        <v>0</v>
      </c>
      <c r="L35">
        <f t="shared" si="5"/>
        <v>0</v>
      </c>
    </row>
    <row r="36" spans="1:12" x14ac:dyDescent="0.25">
      <c r="A36" t="s">
        <v>675</v>
      </c>
      <c r="B36" t="s">
        <v>711</v>
      </c>
      <c r="D36" t="str">
        <f t="shared" si="0"/>
        <v>HI01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Analisar processos históricos.</v>
      </c>
      <c r="L36" t="str">
        <f t="shared" si="5"/>
        <v>EF08HI01</v>
      </c>
    </row>
    <row r="37" spans="1:12" x14ac:dyDescent="0.25">
      <c r="A37" t="s">
        <v>676</v>
      </c>
      <c r="B37" t="s">
        <v>712</v>
      </c>
      <c r="D37" t="str">
        <f t="shared" si="0"/>
        <v>HI02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Identificar transformações sociais e culturais.</v>
      </c>
      <c r="L37" t="str">
        <f t="shared" si="5"/>
        <v>EF08HI02</v>
      </c>
    </row>
    <row r="38" spans="1:12" x14ac:dyDescent="0.25">
      <c r="A38" t="s">
        <v>677</v>
      </c>
      <c r="B38" t="s">
        <v>713</v>
      </c>
      <c r="D38" t="str">
        <f t="shared" si="0"/>
        <v>HI03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Compreender a formação de sociedades modernas.</v>
      </c>
      <c r="L38" t="str">
        <f t="shared" si="5"/>
        <v>EF08HI03</v>
      </c>
    </row>
    <row r="39" spans="1:12" x14ac:dyDescent="0.25">
      <c r="A39" t="s">
        <v>678</v>
      </c>
      <c r="B39" t="s">
        <v>639</v>
      </c>
      <c r="D39" t="str">
        <f t="shared" si="0"/>
        <v>HI04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Analisar diferentes culturas.</v>
      </c>
      <c r="L39" t="str">
        <f t="shared" si="5"/>
        <v>EF08HI04</v>
      </c>
    </row>
    <row r="40" spans="1:12" x14ac:dyDescent="0.25">
      <c r="A40" t="s">
        <v>679</v>
      </c>
      <c r="B40" t="s">
        <v>215</v>
      </c>
      <c r="D40" t="str">
        <f t="shared" si="0"/>
        <v>HI05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Valorizar a diversidade cultural.</v>
      </c>
      <c r="L40" t="str">
        <f t="shared" si="5"/>
        <v>EF08HI05</v>
      </c>
    </row>
    <row r="41" spans="1:12" x14ac:dyDescent="0.25">
      <c r="D41" t="str">
        <f t="shared" si="0"/>
        <v/>
      </c>
      <c r="E41" t="s">
        <v>550</v>
      </c>
      <c r="F41" t="s">
        <v>551</v>
      </c>
      <c r="G41" t="str">
        <f t="shared" si="1"/>
        <v/>
      </c>
      <c r="H41" t="e">
        <f t="shared" si="2"/>
        <v>#N/A</v>
      </c>
      <c r="J41" t="e">
        <f t="shared" si="3"/>
        <v>#N/A</v>
      </c>
      <c r="K41">
        <f t="shared" si="4"/>
        <v>0</v>
      </c>
      <c r="L41">
        <f t="shared" si="5"/>
        <v>0</v>
      </c>
    </row>
    <row r="42" spans="1:12" x14ac:dyDescent="0.25">
      <c r="A42" t="s">
        <v>680</v>
      </c>
      <c r="B42" t="s">
        <v>714</v>
      </c>
      <c r="D42" t="str">
        <f t="shared" si="0"/>
        <v>GE01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Analisar elementos do espaço geográfico.</v>
      </c>
      <c r="L42" t="str">
        <f t="shared" si="5"/>
        <v>EF08GE01</v>
      </c>
    </row>
    <row r="43" spans="1:12" x14ac:dyDescent="0.25">
      <c r="A43" t="s">
        <v>681</v>
      </c>
      <c r="B43" t="s">
        <v>715</v>
      </c>
      <c r="D43" t="str">
        <f t="shared" si="0"/>
        <v>GE02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Compreender dinâmicas ambientais.</v>
      </c>
      <c r="L43" t="str">
        <f t="shared" si="5"/>
        <v>EF08GE02</v>
      </c>
    </row>
    <row r="44" spans="1:12" x14ac:dyDescent="0.25">
      <c r="A44" t="s">
        <v>682</v>
      </c>
      <c r="B44" t="s">
        <v>716</v>
      </c>
      <c r="D44" t="str">
        <f t="shared" si="0"/>
        <v>GE03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Interpretar mapas, gráficos e tabelas.</v>
      </c>
      <c r="L44" t="str">
        <f t="shared" si="5"/>
        <v>EF08GE03</v>
      </c>
    </row>
    <row r="45" spans="1:12" x14ac:dyDescent="0.25">
      <c r="A45" t="s">
        <v>683</v>
      </c>
      <c r="B45" t="s">
        <v>717</v>
      </c>
      <c r="D45" t="str">
        <f t="shared" si="0"/>
        <v>GE04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Analisar a relação sociedade-natureza.</v>
      </c>
      <c r="L45" t="str">
        <f t="shared" si="5"/>
        <v>EF08GE04</v>
      </c>
    </row>
    <row r="46" spans="1:12" x14ac:dyDescent="0.25">
      <c r="A46" t="s">
        <v>684</v>
      </c>
      <c r="B46" t="s">
        <v>363</v>
      </c>
      <c r="D46" t="str">
        <f t="shared" si="0"/>
        <v>GE05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Identificar atividades econômicas.</v>
      </c>
      <c r="L46" t="str">
        <f t="shared" si="5"/>
        <v>EF08GE05</v>
      </c>
    </row>
    <row r="47" spans="1:12" x14ac:dyDescent="0.25">
      <c r="D47" t="str">
        <f t="shared" si="0"/>
        <v/>
      </c>
      <c r="E47" t="s">
        <v>550</v>
      </c>
      <c r="F47" t="s">
        <v>551</v>
      </c>
      <c r="G47" t="str">
        <f t="shared" si="1"/>
        <v/>
      </c>
      <c r="H47" t="e">
        <f t="shared" si="2"/>
        <v>#N/A</v>
      </c>
      <c r="J47" t="e">
        <f t="shared" si="3"/>
        <v>#N/A</v>
      </c>
      <c r="K47">
        <f t="shared" si="4"/>
        <v>0</v>
      </c>
      <c r="L47">
        <f t="shared" si="5"/>
        <v>0</v>
      </c>
    </row>
    <row r="48" spans="1:12" x14ac:dyDescent="0.25">
      <c r="A48" t="s">
        <v>685</v>
      </c>
      <c r="B48" t="s">
        <v>185</v>
      </c>
      <c r="D48" t="str">
        <f t="shared" si="0"/>
        <v>AR01</v>
      </c>
      <c r="E48" t="s">
        <v>550</v>
      </c>
      <c r="F48" t="s">
        <v>551</v>
      </c>
      <c r="G48" t="str">
        <f t="shared" si="1"/>
        <v>AR</v>
      </c>
      <c r="H48" t="str">
        <f t="shared" si="2"/>
        <v>Arte</v>
      </c>
      <c r="J48" t="str">
        <f t="shared" si="3"/>
        <v>Arte</v>
      </c>
      <c r="K48" t="str">
        <f t="shared" si="4"/>
        <v>Experimentar diferentes linguagens artísticas.</v>
      </c>
      <c r="L48" t="str">
        <f t="shared" si="5"/>
        <v>EF08AR01</v>
      </c>
    </row>
    <row r="49" spans="1:12" x14ac:dyDescent="0.25">
      <c r="A49" t="s">
        <v>686</v>
      </c>
      <c r="B49" t="s">
        <v>544</v>
      </c>
      <c r="D49" t="str">
        <f t="shared" si="0"/>
        <v>AR02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Analisar elementos das artes visuais.</v>
      </c>
      <c r="L49" t="str">
        <f t="shared" si="5"/>
        <v>EF08AR02</v>
      </c>
    </row>
    <row r="50" spans="1:12" x14ac:dyDescent="0.25">
      <c r="A50" t="s">
        <v>687</v>
      </c>
      <c r="B50" t="s">
        <v>642</v>
      </c>
      <c r="D50" t="str">
        <f t="shared" si="0"/>
        <v>AR03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Explorar sons, ritmos e composições.</v>
      </c>
      <c r="L50" t="str">
        <f t="shared" si="5"/>
        <v>EF08AR03</v>
      </c>
    </row>
    <row r="51" spans="1:12" x14ac:dyDescent="0.25">
      <c r="A51" t="s">
        <v>688</v>
      </c>
      <c r="B51" t="s">
        <v>545</v>
      </c>
      <c r="D51" t="str">
        <f t="shared" si="0"/>
        <v>AR04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Expressar-se corporalmente.</v>
      </c>
      <c r="L51" t="str">
        <f t="shared" si="5"/>
        <v>EF08AR04</v>
      </c>
    </row>
    <row r="53" spans="1:12" x14ac:dyDescent="0.25">
      <c r="A53" t="s">
        <v>689</v>
      </c>
      <c r="B53" t="s">
        <v>546</v>
      </c>
    </row>
    <row r="54" spans="1:12" x14ac:dyDescent="0.25">
      <c r="A54" t="s">
        <v>690</v>
      </c>
      <c r="B54" t="s">
        <v>367</v>
      </c>
    </row>
    <row r="55" spans="1:12" x14ac:dyDescent="0.25">
      <c r="A55" t="s">
        <v>691</v>
      </c>
      <c r="B55" t="s">
        <v>643</v>
      </c>
    </row>
    <row r="56" spans="1:12" x14ac:dyDescent="0.25">
      <c r="A56" t="s">
        <v>692</v>
      </c>
      <c r="B56" t="s">
        <v>226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6240-C298-4EB5-9EBB-EC5B5F6B3DE4}">
  <dimension ref="A1:O56"/>
  <sheetViews>
    <sheetView topLeftCell="A15" workbookViewId="0">
      <selection activeCell="J1" sqref="J1:L51"/>
    </sheetView>
  </sheetViews>
  <sheetFormatPr defaultRowHeight="15" x14ac:dyDescent="0.25"/>
  <cols>
    <col min="1" max="1" width="9.7109375" bestFit="1" customWidth="1"/>
    <col min="2" max="2" width="60.42578125" bestFit="1" customWidth="1"/>
    <col min="4" max="4" width="5.7109375" bestFit="1" customWidth="1"/>
    <col min="5" max="5" width="19.42578125" bestFit="1" customWidth="1"/>
    <col min="6" max="6" width="6.7109375" bestFit="1" customWidth="1"/>
    <col min="7" max="7" width="3.7109375" bestFit="1" customWidth="1"/>
    <col min="8" max="8" width="17.5703125" bestFit="1" customWidth="1"/>
    <col min="10" max="10" width="17.5703125" bestFit="1" customWidth="1"/>
    <col min="11" max="11" width="86.85546875" bestFit="1" customWidth="1"/>
    <col min="12" max="12" width="9.7109375" bestFit="1" customWidth="1"/>
    <col min="14" max="14" width="3.710937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J1" t="s">
        <v>547</v>
      </c>
      <c r="K1" t="s">
        <v>548</v>
      </c>
      <c r="L1" t="s">
        <v>549</v>
      </c>
    </row>
    <row r="2" spans="1:15" x14ac:dyDescent="0.25">
      <c r="A2" t="s">
        <v>718</v>
      </c>
      <c r="B2" t="s">
        <v>781</v>
      </c>
      <c r="D2" t="str">
        <f>RIGHT(A2,4)</f>
        <v>LP01</v>
      </c>
      <c r="E2" t="s">
        <v>550</v>
      </c>
      <c r="F2" t="s">
        <v>551</v>
      </c>
      <c r="G2" t="str">
        <f>LEFT(D2,2)</f>
        <v>LP</v>
      </c>
      <c r="H2" t="str">
        <f>VLOOKUP(G2,N:O,2,FALSE)</f>
        <v>Língua Portuguesa</v>
      </c>
      <c r="J2" t="str">
        <f>H2</f>
        <v>Língua Portuguesa</v>
      </c>
      <c r="K2" t="str">
        <f>B2</f>
        <v>Analisar tema, tese e argumentos em textos de diferentes gêneros.</v>
      </c>
      <c r="L2" t="str">
        <f>A2</f>
        <v>EF09LP01</v>
      </c>
    </row>
    <row r="3" spans="1:15" x14ac:dyDescent="0.25">
      <c r="A3" t="s">
        <v>719</v>
      </c>
      <c r="B3" t="s">
        <v>720</v>
      </c>
      <c r="D3" t="str">
        <f t="shared" ref="D3:D51" si="0">RIGHT(A3,4)</f>
        <v>LP02</v>
      </c>
      <c r="E3" t="s">
        <v>550</v>
      </c>
      <c r="F3" t="s">
        <v>551</v>
      </c>
      <c r="G3" t="str">
        <f t="shared" ref="G3:G51" si="1">LEFT(D3,2)</f>
        <v>LP</v>
      </c>
      <c r="H3" t="str">
        <f t="shared" ref="H3:H51" si="2">VLOOKUP(G3,N:O,2,FALSE)</f>
        <v>Língua Portuguesa</v>
      </c>
      <c r="J3" t="str">
        <f t="shared" ref="J3:J51" si="3">H3</f>
        <v>Língua Portuguesa</v>
      </c>
      <c r="K3" t="str">
        <f t="shared" ref="K3:K51" si="4">B3</f>
        <v>Comparar informações e pontos de vista em diferentes textos.</v>
      </c>
      <c r="L3" t="str">
        <f t="shared" ref="L3:L51" si="5">A3</f>
        <v>EF09LP02</v>
      </c>
    </row>
    <row r="4" spans="1:15" x14ac:dyDescent="0.25">
      <c r="A4" t="s">
        <v>721</v>
      </c>
      <c r="B4" t="s">
        <v>722</v>
      </c>
      <c r="D4" t="str">
        <f t="shared" si="0"/>
        <v>LP03</v>
      </c>
      <c r="E4" t="s">
        <v>550</v>
      </c>
      <c r="F4" t="s">
        <v>551</v>
      </c>
      <c r="G4" t="str">
        <f t="shared" si="1"/>
        <v>LP</v>
      </c>
      <c r="H4" t="str">
        <f t="shared" si="2"/>
        <v>Língua Portuguesa</v>
      </c>
      <c r="J4" t="str">
        <f t="shared" si="3"/>
        <v>Língua Portuguesa</v>
      </c>
      <c r="K4" t="str">
        <f t="shared" si="4"/>
        <v>Inferir informações implícitas e avaliar pressupostos.</v>
      </c>
      <c r="L4" t="str">
        <f t="shared" si="5"/>
        <v>EF09LP03</v>
      </c>
    </row>
    <row r="5" spans="1:15" x14ac:dyDescent="0.25">
      <c r="A5" t="s">
        <v>723</v>
      </c>
      <c r="B5" t="s">
        <v>613</v>
      </c>
      <c r="D5" t="str">
        <f t="shared" si="0"/>
        <v>LP04</v>
      </c>
      <c r="E5" t="s">
        <v>550</v>
      </c>
      <c r="F5" t="s">
        <v>551</v>
      </c>
      <c r="G5" t="str">
        <f t="shared" si="1"/>
        <v>LP</v>
      </c>
      <c r="H5" t="str">
        <f t="shared" si="2"/>
        <v>Língua Portuguesa</v>
      </c>
      <c r="J5" t="str">
        <f t="shared" si="3"/>
        <v>Língua Portuguesa</v>
      </c>
      <c r="K5" t="str">
        <f t="shared" si="4"/>
        <v>Analisar a finalidade e o público-alvo de textos.</v>
      </c>
      <c r="L5" t="str">
        <f t="shared" si="5"/>
        <v>EF09LP04</v>
      </c>
    </row>
    <row r="6" spans="1:15" x14ac:dyDescent="0.25">
      <c r="A6" t="s">
        <v>724</v>
      </c>
      <c r="B6" t="s">
        <v>725</v>
      </c>
      <c r="D6" t="str">
        <f t="shared" si="0"/>
        <v>LP05</v>
      </c>
      <c r="E6" t="s">
        <v>550</v>
      </c>
      <c r="F6" t="s">
        <v>551</v>
      </c>
      <c r="G6" t="str">
        <f t="shared" si="1"/>
        <v>LP</v>
      </c>
      <c r="H6" t="str">
        <f t="shared" si="2"/>
        <v>Língua Portuguesa</v>
      </c>
      <c r="J6" t="str">
        <f t="shared" si="3"/>
        <v>Língua Portuguesa</v>
      </c>
      <c r="K6" t="str">
        <f t="shared" si="4"/>
        <v>Avaliar a consistência e a validade de argumentos.</v>
      </c>
      <c r="L6" t="str">
        <f t="shared" si="5"/>
        <v>EF09LP05</v>
      </c>
      <c r="N6" t="s">
        <v>552</v>
      </c>
      <c r="O6" t="s">
        <v>553</v>
      </c>
    </row>
    <row r="7" spans="1:15" x14ac:dyDescent="0.25">
      <c r="A7" t="s">
        <v>726</v>
      </c>
      <c r="B7" t="s">
        <v>727</v>
      </c>
      <c r="D7" t="str">
        <f t="shared" si="0"/>
        <v>LP06</v>
      </c>
      <c r="E7" t="s">
        <v>550</v>
      </c>
      <c r="F7" t="s">
        <v>551</v>
      </c>
      <c r="G7" t="str">
        <f t="shared" si="1"/>
        <v>LP</v>
      </c>
      <c r="H7" t="str">
        <f t="shared" si="2"/>
        <v>Língua Portuguesa</v>
      </c>
      <c r="J7" t="str">
        <f t="shared" si="3"/>
        <v>Língua Portuguesa</v>
      </c>
      <c r="K7" t="str">
        <f t="shared" si="4"/>
        <v>Analisar estratégias argumentativas.</v>
      </c>
      <c r="L7" t="str">
        <f t="shared" si="5"/>
        <v>EF09LP06</v>
      </c>
      <c r="N7" t="s">
        <v>104</v>
      </c>
      <c r="O7" t="s">
        <v>105</v>
      </c>
    </row>
    <row r="8" spans="1:15" x14ac:dyDescent="0.25">
      <c r="A8" t="s">
        <v>728</v>
      </c>
      <c r="B8" t="s">
        <v>729</v>
      </c>
      <c r="D8" t="str">
        <f t="shared" si="0"/>
        <v>LP07</v>
      </c>
      <c r="E8" t="s">
        <v>550</v>
      </c>
      <c r="F8" t="s">
        <v>551</v>
      </c>
      <c r="G8" t="str">
        <f t="shared" si="1"/>
        <v>LP</v>
      </c>
      <c r="H8" t="str">
        <f t="shared" si="2"/>
        <v>Língua Portuguesa</v>
      </c>
      <c r="J8" t="str">
        <f t="shared" si="3"/>
        <v>Língua Portuguesa</v>
      </c>
      <c r="K8" t="str">
        <f t="shared" si="4"/>
        <v>Produzir textos argumentativos com coerência e coesão.</v>
      </c>
      <c r="L8" t="str">
        <f t="shared" si="5"/>
        <v>EF09LP07</v>
      </c>
      <c r="N8" t="s">
        <v>554</v>
      </c>
      <c r="O8" t="s">
        <v>555</v>
      </c>
    </row>
    <row r="9" spans="1:15" x14ac:dyDescent="0.25">
      <c r="A9" t="s">
        <v>730</v>
      </c>
      <c r="B9" t="s">
        <v>731</v>
      </c>
      <c r="D9" t="str">
        <f t="shared" si="0"/>
        <v>LP08</v>
      </c>
      <c r="E9" t="s">
        <v>550</v>
      </c>
      <c r="F9" t="s">
        <v>551</v>
      </c>
      <c r="G9" t="str">
        <f t="shared" si="1"/>
        <v>LP</v>
      </c>
      <c r="H9" t="str">
        <f t="shared" si="2"/>
        <v>Língua Portuguesa</v>
      </c>
      <c r="J9" t="str">
        <f t="shared" si="3"/>
        <v>Língua Portuguesa</v>
      </c>
      <c r="K9" t="str">
        <f t="shared" si="4"/>
        <v>Revisar textos quanto à adequação linguística.</v>
      </c>
      <c r="L9" t="str">
        <f t="shared" si="5"/>
        <v>EF09LP08</v>
      </c>
      <c r="N9" t="s">
        <v>556</v>
      </c>
      <c r="O9" t="s">
        <v>557</v>
      </c>
    </row>
    <row r="10" spans="1:15" x14ac:dyDescent="0.25">
      <c r="A10" t="s">
        <v>732</v>
      </c>
      <c r="B10" t="s">
        <v>618</v>
      </c>
      <c r="D10" t="str">
        <f t="shared" si="0"/>
        <v>LP09</v>
      </c>
      <c r="E10" t="s">
        <v>550</v>
      </c>
      <c r="F10" t="s">
        <v>551</v>
      </c>
      <c r="G10" t="str">
        <f t="shared" si="1"/>
        <v>LP</v>
      </c>
      <c r="H10" t="str">
        <f t="shared" si="2"/>
        <v>Língua Portuguesa</v>
      </c>
      <c r="J10" t="str">
        <f t="shared" si="3"/>
        <v>Língua Portuguesa</v>
      </c>
      <c r="K10" t="str">
        <f t="shared" si="4"/>
        <v>Utilizar recursos linguísticos e gramaticais adequados.</v>
      </c>
      <c r="L10" t="str">
        <f t="shared" si="5"/>
        <v>EF09LP09</v>
      </c>
      <c r="N10" t="s">
        <v>558</v>
      </c>
      <c r="O10" t="s">
        <v>559</v>
      </c>
    </row>
    <row r="11" spans="1:15" x14ac:dyDescent="0.25">
      <c r="A11" t="s">
        <v>733</v>
      </c>
      <c r="B11" t="s">
        <v>700</v>
      </c>
      <c r="D11" t="str">
        <f t="shared" si="0"/>
        <v>LP10</v>
      </c>
      <c r="E11" t="s">
        <v>550</v>
      </c>
      <c r="F11" t="s">
        <v>551</v>
      </c>
      <c r="G11" t="str">
        <f t="shared" si="1"/>
        <v>LP</v>
      </c>
      <c r="H11" t="str">
        <f t="shared" si="2"/>
        <v>Língua Portuguesa</v>
      </c>
      <c r="J11" t="str">
        <f t="shared" si="3"/>
        <v>Língua Portuguesa</v>
      </c>
      <c r="K11" t="str">
        <f t="shared" si="4"/>
        <v>Analisar efeitos de sentido em figuras de linguagem.</v>
      </c>
      <c r="L11" t="str">
        <f t="shared" si="5"/>
        <v>EF09LP10</v>
      </c>
      <c r="N11" t="s">
        <v>560</v>
      </c>
      <c r="O11" t="s">
        <v>561</v>
      </c>
    </row>
    <row r="12" spans="1:15" x14ac:dyDescent="0.25">
      <c r="A12" t="s">
        <v>734</v>
      </c>
      <c r="B12" t="s">
        <v>620</v>
      </c>
      <c r="D12" t="str">
        <f t="shared" si="0"/>
        <v>LP11</v>
      </c>
      <c r="E12" t="s">
        <v>550</v>
      </c>
      <c r="F12" t="s">
        <v>551</v>
      </c>
      <c r="G12" t="str">
        <f t="shared" si="1"/>
        <v>LP</v>
      </c>
      <c r="H12" t="str">
        <f t="shared" si="2"/>
        <v>Língua Portuguesa</v>
      </c>
      <c r="J12" t="str">
        <f t="shared" si="3"/>
        <v>Língua Portuguesa</v>
      </c>
      <c r="K12" t="str">
        <f t="shared" si="4"/>
        <v>Identificar vozes e discursos em textos.</v>
      </c>
      <c r="L12" t="str">
        <f t="shared" si="5"/>
        <v>EF09LP11</v>
      </c>
      <c r="N12" t="s">
        <v>103</v>
      </c>
      <c r="O12" t="s">
        <v>562</v>
      </c>
    </row>
    <row r="13" spans="1:15" x14ac:dyDescent="0.25">
      <c r="A13" t="s">
        <v>735</v>
      </c>
      <c r="B13" t="s">
        <v>621</v>
      </c>
      <c r="D13" t="str">
        <f t="shared" si="0"/>
        <v>LP12</v>
      </c>
      <c r="E13" t="s">
        <v>550</v>
      </c>
      <c r="F13" t="s">
        <v>551</v>
      </c>
      <c r="G13" t="str">
        <f t="shared" si="1"/>
        <v>LP</v>
      </c>
      <c r="H13" t="str">
        <f t="shared" si="2"/>
        <v>Língua Portuguesa</v>
      </c>
      <c r="J13" t="str">
        <f t="shared" si="3"/>
        <v>Língua Portuguesa</v>
      </c>
      <c r="K13" t="str">
        <f t="shared" si="4"/>
        <v>Participar de práticas de leitura, escrita e oralidade.</v>
      </c>
      <c r="L13" t="str">
        <f t="shared" si="5"/>
        <v>EF09LP12</v>
      </c>
    </row>
    <row r="14" spans="1:15" x14ac:dyDescent="0.25">
      <c r="D14" t="str">
        <f t="shared" si="0"/>
        <v/>
      </c>
      <c r="E14" t="s">
        <v>550</v>
      </c>
      <c r="F14" t="s">
        <v>551</v>
      </c>
      <c r="G14" t="str">
        <f t="shared" si="1"/>
        <v/>
      </c>
      <c r="H14" t="e">
        <f t="shared" si="2"/>
        <v>#N/A</v>
      </c>
      <c r="J14" t="e">
        <f t="shared" si="3"/>
        <v>#N/A</v>
      </c>
      <c r="K14">
        <f t="shared" si="4"/>
        <v>0</v>
      </c>
      <c r="L14">
        <f t="shared" si="5"/>
        <v>0</v>
      </c>
    </row>
    <row r="15" spans="1:15" x14ac:dyDescent="0.25">
      <c r="A15" t="s">
        <v>736</v>
      </c>
      <c r="B15" t="s">
        <v>737</v>
      </c>
      <c r="D15" t="str">
        <f t="shared" si="0"/>
        <v>MA01</v>
      </c>
      <c r="E15" t="s">
        <v>550</v>
      </c>
      <c r="F15" t="s">
        <v>551</v>
      </c>
      <c r="G15" t="str">
        <f t="shared" si="1"/>
        <v>MA</v>
      </c>
      <c r="H15" t="str">
        <f t="shared" si="2"/>
        <v>Matemática</v>
      </c>
      <c r="J15" t="str">
        <f t="shared" si="3"/>
        <v>Matemática</v>
      </c>
      <c r="K15" t="str">
        <f t="shared" si="4"/>
        <v>Resolver e elaborar problemas com números reais.</v>
      </c>
      <c r="L15" t="str">
        <f t="shared" si="5"/>
        <v>EF09MA01</v>
      </c>
    </row>
    <row r="16" spans="1:15" x14ac:dyDescent="0.25">
      <c r="A16" t="s">
        <v>738</v>
      </c>
      <c r="B16" t="s">
        <v>739</v>
      </c>
      <c r="D16" t="str">
        <f t="shared" si="0"/>
        <v>MA02</v>
      </c>
      <c r="E16" t="s">
        <v>550</v>
      </c>
      <c r="F16" t="s">
        <v>551</v>
      </c>
      <c r="G16" t="str">
        <f t="shared" si="1"/>
        <v>MA</v>
      </c>
      <c r="H16" t="str">
        <f t="shared" si="2"/>
        <v>Matemática</v>
      </c>
      <c r="J16" t="str">
        <f t="shared" si="3"/>
        <v>Matemática</v>
      </c>
      <c r="K16" t="str">
        <f t="shared" si="4"/>
        <v>Compreender operações com números reais.</v>
      </c>
      <c r="L16" t="str">
        <f t="shared" si="5"/>
        <v>EF09MA02</v>
      </c>
    </row>
    <row r="17" spans="1:12" x14ac:dyDescent="0.25">
      <c r="A17" t="s">
        <v>740</v>
      </c>
      <c r="B17" t="s">
        <v>741</v>
      </c>
      <c r="D17" t="str">
        <f t="shared" si="0"/>
        <v>MA03</v>
      </c>
      <c r="E17" t="s">
        <v>550</v>
      </c>
      <c r="F17" t="s">
        <v>551</v>
      </c>
      <c r="G17" t="str">
        <f t="shared" si="1"/>
        <v>MA</v>
      </c>
      <c r="H17" t="str">
        <f t="shared" si="2"/>
        <v>Matemática</v>
      </c>
      <c r="J17" t="str">
        <f t="shared" si="3"/>
        <v>Matemática</v>
      </c>
      <c r="K17" t="str">
        <f t="shared" si="4"/>
        <v>Resolver problemas envolvendo porcentagens e juros simples.</v>
      </c>
      <c r="L17" t="str">
        <f t="shared" si="5"/>
        <v>EF09MA03</v>
      </c>
    </row>
    <row r="18" spans="1:12" x14ac:dyDescent="0.25">
      <c r="A18" t="s">
        <v>742</v>
      </c>
      <c r="B18" t="s">
        <v>704</v>
      </c>
      <c r="D18" t="str">
        <f t="shared" si="0"/>
        <v>MA04</v>
      </c>
      <c r="E18" t="s">
        <v>550</v>
      </c>
      <c r="F18" t="s">
        <v>551</v>
      </c>
      <c r="G18" t="str">
        <f t="shared" si="1"/>
        <v>MA</v>
      </c>
      <c r="H18" t="str">
        <f t="shared" si="2"/>
        <v>Matemática</v>
      </c>
      <c r="J18" t="str">
        <f t="shared" si="3"/>
        <v>Matemática</v>
      </c>
      <c r="K18" t="str">
        <f t="shared" si="4"/>
        <v>Compreender expressões algébricas.</v>
      </c>
      <c r="L18" t="str">
        <f t="shared" si="5"/>
        <v>EF09MA04</v>
      </c>
    </row>
    <row r="19" spans="1:12" x14ac:dyDescent="0.25">
      <c r="A19" t="s">
        <v>743</v>
      </c>
      <c r="B19" t="s">
        <v>627</v>
      </c>
      <c r="D19" t="str">
        <f t="shared" si="0"/>
        <v>MA05</v>
      </c>
      <c r="E19" t="s">
        <v>550</v>
      </c>
      <c r="F19" t="s">
        <v>551</v>
      </c>
      <c r="G19" t="str">
        <f t="shared" si="1"/>
        <v>MA</v>
      </c>
      <c r="H19" t="str">
        <f t="shared" si="2"/>
        <v>Matemática</v>
      </c>
      <c r="J19" t="str">
        <f t="shared" si="3"/>
        <v>Matemática</v>
      </c>
      <c r="K19" t="str">
        <f t="shared" si="4"/>
        <v>Resolver equações do 1º grau.</v>
      </c>
      <c r="L19" t="str">
        <f t="shared" si="5"/>
        <v>EF09MA05</v>
      </c>
    </row>
    <row r="20" spans="1:12" x14ac:dyDescent="0.25">
      <c r="A20" t="s">
        <v>744</v>
      </c>
      <c r="B20" t="s">
        <v>745</v>
      </c>
      <c r="D20" t="str">
        <f t="shared" si="0"/>
        <v>MA06</v>
      </c>
      <c r="E20" t="s">
        <v>550</v>
      </c>
      <c r="F20" t="s">
        <v>551</v>
      </c>
      <c r="G20" t="str">
        <f t="shared" si="1"/>
        <v>MA</v>
      </c>
      <c r="H20" t="str">
        <f t="shared" si="2"/>
        <v>Matemática</v>
      </c>
      <c r="J20" t="str">
        <f t="shared" si="3"/>
        <v>Matemática</v>
      </c>
      <c r="K20" t="str">
        <f t="shared" si="4"/>
        <v>Resolver sistemas de equações.</v>
      </c>
      <c r="L20" t="str">
        <f t="shared" si="5"/>
        <v>EF09MA06</v>
      </c>
    </row>
    <row r="21" spans="1:12" x14ac:dyDescent="0.25">
      <c r="A21" t="s">
        <v>746</v>
      </c>
      <c r="B21" t="s">
        <v>747</v>
      </c>
      <c r="D21" t="str">
        <f t="shared" si="0"/>
        <v>MA07</v>
      </c>
      <c r="E21" t="s">
        <v>550</v>
      </c>
      <c r="F21" t="s">
        <v>551</v>
      </c>
      <c r="G21" t="str">
        <f t="shared" si="1"/>
        <v>MA</v>
      </c>
      <c r="H21" t="str">
        <f t="shared" si="2"/>
        <v>Matemática</v>
      </c>
      <c r="J21" t="str">
        <f t="shared" si="3"/>
        <v>Matemática</v>
      </c>
      <c r="K21" t="str">
        <f t="shared" si="4"/>
        <v>Compreender funções.</v>
      </c>
      <c r="L21" t="str">
        <f t="shared" si="5"/>
        <v>EF09MA07</v>
      </c>
    </row>
    <row r="22" spans="1:12" x14ac:dyDescent="0.25">
      <c r="A22" t="s">
        <v>748</v>
      </c>
      <c r="B22" t="s">
        <v>628</v>
      </c>
      <c r="D22" t="str">
        <f t="shared" si="0"/>
        <v>MA08</v>
      </c>
      <c r="E22" t="s">
        <v>550</v>
      </c>
      <c r="F22" t="s">
        <v>551</v>
      </c>
      <c r="G22" t="str">
        <f t="shared" si="1"/>
        <v>MA</v>
      </c>
      <c r="H22" t="str">
        <f t="shared" si="2"/>
        <v>Matemática</v>
      </c>
      <c r="J22" t="str">
        <f t="shared" si="3"/>
        <v>Matemática</v>
      </c>
      <c r="K22" t="str">
        <f t="shared" si="4"/>
        <v>Reconhecer e representar figuras geométricas.</v>
      </c>
      <c r="L22" t="str">
        <f t="shared" si="5"/>
        <v>EF09MA08</v>
      </c>
    </row>
    <row r="23" spans="1:12" x14ac:dyDescent="0.25">
      <c r="A23" t="s">
        <v>749</v>
      </c>
      <c r="B23" t="s">
        <v>629</v>
      </c>
      <c r="D23" t="str">
        <f t="shared" si="0"/>
        <v>MA09</v>
      </c>
      <c r="E23" t="s">
        <v>550</v>
      </c>
      <c r="F23" t="s">
        <v>551</v>
      </c>
      <c r="G23" t="str">
        <f t="shared" si="1"/>
        <v>MA</v>
      </c>
      <c r="H23" t="str">
        <f t="shared" si="2"/>
        <v>Matemática</v>
      </c>
      <c r="J23" t="str">
        <f t="shared" si="3"/>
        <v>Matemática</v>
      </c>
      <c r="K23" t="str">
        <f t="shared" si="4"/>
        <v>Calcular área e perímetro de figuras planas.</v>
      </c>
      <c r="L23" t="str">
        <f t="shared" si="5"/>
        <v>EF09MA09</v>
      </c>
    </row>
    <row r="24" spans="1:12" x14ac:dyDescent="0.25">
      <c r="A24" t="s">
        <v>750</v>
      </c>
      <c r="B24" t="s">
        <v>526</v>
      </c>
      <c r="D24" t="str">
        <f t="shared" si="0"/>
        <v>MA10</v>
      </c>
      <c r="E24" t="s">
        <v>550</v>
      </c>
      <c r="F24" t="s">
        <v>551</v>
      </c>
      <c r="G24" t="str">
        <f t="shared" si="1"/>
        <v>MA</v>
      </c>
      <c r="H24" t="str">
        <f t="shared" si="2"/>
        <v>Matemática</v>
      </c>
      <c r="J24" t="str">
        <f t="shared" si="3"/>
        <v>Matemática</v>
      </c>
      <c r="K24" t="str">
        <f t="shared" si="4"/>
        <v>Resolver problemas envolvendo medidas.</v>
      </c>
      <c r="L24" t="str">
        <f t="shared" si="5"/>
        <v>EF09MA10</v>
      </c>
    </row>
    <row r="25" spans="1:12" x14ac:dyDescent="0.25">
      <c r="A25" t="s">
        <v>751</v>
      </c>
      <c r="B25" t="s">
        <v>350</v>
      </c>
      <c r="D25" t="str">
        <f t="shared" si="0"/>
        <v>MA11</v>
      </c>
      <c r="E25" t="s">
        <v>550</v>
      </c>
      <c r="F25" t="s">
        <v>551</v>
      </c>
      <c r="G25" t="str">
        <f t="shared" si="1"/>
        <v>MA</v>
      </c>
      <c r="H25" t="str">
        <f t="shared" si="2"/>
        <v>Matemática</v>
      </c>
      <c r="J25" t="str">
        <f t="shared" si="3"/>
        <v>Matemática</v>
      </c>
      <c r="K25" t="str">
        <f t="shared" si="4"/>
        <v>Interpretar e construir gráficos e tabelas.</v>
      </c>
      <c r="L25" t="str">
        <f t="shared" si="5"/>
        <v>EF09MA11</v>
      </c>
    </row>
    <row r="26" spans="1:12" x14ac:dyDescent="0.25">
      <c r="A26" t="s">
        <v>752</v>
      </c>
      <c r="B26" t="s">
        <v>527</v>
      </c>
      <c r="D26" t="str">
        <f t="shared" si="0"/>
        <v>MA12</v>
      </c>
      <c r="E26" t="s">
        <v>550</v>
      </c>
      <c r="F26" t="s">
        <v>551</v>
      </c>
      <c r="G26" t="str">
        <f t="shared" si="1"/>
        <v>MA</v>
      </c>
      <c r="H26" t="str">
        <f t="shared" si="2"/>
        <v>Matemática</v>
      </c>
      <c r="J26" t="str">
        <f t="shared" si="3"/>
        <v>Matemática</v>
      </c>
      <c r="K26" t="str">
        <f t="shared" si="4"/>
        <v>Identificar padrões e regularidades.</v>
      </c>
      <c r="L26" t="str">
        <f t="shared" si="5"/>
        <v>EF09MA12</v>
      </c>
    </row>
    <row r="27" spans="1:12" x14ac:dyDescent="0.25">
      <c r="D27" t="str">
        <f t="shared" si="0"/>
        <v/>
      </c>
      <c r="E27" t="s">
        <v>550</v>
      </c>
      <c r="F27" t="s">
        <v>551</v>
      </c>
      <c r="G27" t="str">
        <f t="shared" si="1"/>
        <v/>
      </c>
      <c r="H27" t="e">
        <f t="shared" si="2"/>
        <v>#N/A</v>
      </c>
      <c r="J27" t="e">
        <f t="shared" si="3"/>
        <v>#N/A</v>
      </c>
      <c r="K27">
        <f t="shared" si="4"/>
        <v>0</v>
      </c>
      <c r="L27">
        <f t="shared" si="5"/>
        <v>0</v>
      </c>
    </row>
    <row r="28" spans="1:12" x14ac:dyDescent="0.25">
      <c r="A28" t="s">
        <v>753</v>
      </c>
      <c r="B28" t="s">
        <v>630</v>
      </c>
      <c r="D28" t="str">
        <f t="shared" si="0"/>
        <v>CI01</v>
      </c>
      <c r="E28" t="s">
        <v>550</v>
      </c>
      <c r="F28" t="s">
        <v>551</v>
      </c>
      <c r="G28" t="str">
        <f t="shared" si="1"/>
        <v>CI</v>
      </c>
      <c r="H28" t="str">
        <f t="shared" si="2"/>
        <v>Ciências</v>
      </c>
      <c r="J28" t="str">
        <f t="shared" si="3"/>
        <v>Ciências</v>
      </c>
      <c r="K28" t="str">
        <f t="shared" si="4"/>
        <v>Compreender a organização dos seres vivos.</v>
      </c>
      <c r="L28" t="str">
        <f t="shared" si="5"/>
        <v>EF09CI01</v>
      </c>
    </row>
    <row r="29" spans="1:12" x14ac:dyDescent="0.25">
      <c r="A29" t="s">
        <v>754</v>
      </c>
      <c r="B29" t="s">
        <v>706</v>
      </c>
      <c r="D29" t="str">
        <f t="shared" si="0"/>
        <v>CI02</v>
      </c>
      <c r="E29" t="s">
        <v>550</v>
      </c>
      <c r="F29" t="s">
        <v>551</v>
      </c>
      <c r="G29" t="str">
        <f t="shared" si="1"/>
        <v>CI</v>
      </c>
      <c r="H29" t="str">
        <f t="shared" si="2"/>
        <v>Ciências</v>
      </c>
      <c r="J29" t="str">
        <f t="shared" si="3"/>
        <v>Ciências</v>
      </c>
      <c r="K29" t="str">
        <f t="shared" si="4"/>
        <v>Analisar relações ecológicas.</v>
      </c>
      <c r="L29" t="str">
        <f t="shared" si="5"/>
        <v>EF09CI02</v>
      </c>
    </row>
    <row r="30" spans="1:12" x14ac:dyDescent="0.25">
      <c r="A30" t="s">
        <v>755</v>
      </c>
      <c r="B30" t="s">
        <v>707</v>
      </c>
      <c r="D30" t="str">
        <f t="shared" si="0"/>
        <v>CI03</v>
      </c>
      <c r="E30" t="s">
        <v>550</v>
      </c>
      <c r="F30" t="s">
        <v>551</v>
      </c>
      <c r="G30" t="str">
        <f t="shared" si="1"/>
        <v>CI</v>
      </c>
      <c r="H30" t="str">
        <f t="shared" si="2"/>
        <v>Ciências</v>
      </c>
      <c r="J30" t="str">
        <f t="shared" si="3"/>
        <v>Ciências</v>
      </c>
      <c r="K30" t="str">
        <f t="shared" si="4"/>
        <v>Compreender cadeias e teias alimentares.</v>
      </c>
      <c r="L30" t="str">
        <f t="shared" si="5"/>
        <v>EF09CI03</v>
      </c>
    </row>
    <row r="31" spans="1:12" x14ac:dyDescent="0.25">
      <c r="A31" t="s">
        <v>756</v>
      </c>
      <c r="B31" t="s">
        <v>708</v>
      </c>
      <c r="D31" t="str">
        <f t="shared" si="0"/>
        <v>CI04</v>
      </c>
      <c r="E31" t="s">
        <v>550</v>
      </c>
      <c r="F31" t="s">
        <v>551</v>
      </c>
      <c r="G31" t="str">
        <f t="shared" si="1"/>
        <v>CI</v>
      </c>
      <c r="H31" t="str">
        <f t="shared" si="2"/>
        <v>Ciências</v>
      </c>
      <c r="J31" t="str">
        <f t="shared" si="3"/>
        <v>Ciências</v>
      </c>
      <c r="K31" t="str">
        <f t="shared" si="4"/>
        <v>Identificar transformações químicas e físicas.</v>
      </c>
      <c r="L31" t="str">
        <f t="shared" si="5"/>
        <v>EF09CI04</v>
      </c>
    </row>
    <row r="32" spans="1:12" x14ac:dyDescent="0.25">
      <c r="A32" t="s">
        <v>757</v>
      </c>
      <c r="B32" t="s">
        <v>709</v>
      </c>
      <c r="D32" t="str">
        <f t="shared" si="0"/>
        <v>CI05</v>
      </c>
      <c r="E32" t="s">
        <v>550</v>
      </c>
      <c r="F32" t="s">
        <v>551</v>
      </c>
      <c r="G32" t="str">
        <f t="shared" si="1"/>
        <v>CI</v>
      </c>
      <c r="H32" t="str">
        <f t="shared" si="2"/>
        <v>Ciências</v>
      </c>
      <c r="J32" t="str">
        <f t="shared" si="3"/>
        <v>Ciências</v>
      </c>
      <c r="K32" t="str">
        <f t="shared" si="4"/>
        <v>Compreender fontes e formas de energia.</v>
      </c>
      <c r="L32" t="str">
        <f t="shared" si="5"/>
        <v>EF09CI05</v>
      </c>
    </row>
    <row r="33" spans="1:12" x14ac:dyDescent="0.25">
      <c r="A33" t="s">
        <v>758</v>
      </c>
      <c r="B33" t="s">
        <v>710</v>
      </c>
      <c r="D33" t="str">
        <f t="shared" si="0"/>
        <v>CI06</v>
      </c>
      <c r="E33" t="s">
        <v>550</v>
      </c>
      <c r="F33" t="s">
        <v>551</v>
      </c>
      <c r="G33" t="str">
        <f t="shared" si="1"/>
        <v>CI</v>
      </c>
      <c r="H33" t="str">
        <f t="shared" si="2"/>
        <v>Ciências</v>
      </c>
      <c r="J33" t="str">
        <f t="shared" si="3"/>
        <v>Ciências</v>
      </c>
      <c r="K33" t="str">
        <f t="shared" si="4"/>
        <v>Analisar impactos ambientais.</v>
      </c>
      <c r="L33" t="str">
        <f t="shared" si="5"/>
        <v>EF09CI06</v>
      </c>
    </row>
    <row r="34" spans="1:12" x14ac:dyDescent="0.25">
      <c r="A34" t="s">
        <v>759</v>
      </c>
      <c r="B34" t="s">
        <v>536</v>
      </c>
      <c r="D34" t="str">
        <f t="shared" si="0"/>
        <v>CI07</v>
      </c>
      <c r="E34" t="s">
        <v>550</v>
      </c>
      <c r="F34" t="s">
        <v>551</v>
      </c>
      <c r="G34" t="str">
        <f t="shared" si="1"/>
        <v>CI</v>
      </c>
      <c r="H34" t="str">
        <f t="shared" si="2"/>
        <v>Ciências</v>
      </c>
      <c r="J34" t="str">
        <f t="shared" si="3"/>
        <v>Ciências</v>
      </c>
      <c r="K34" t="str">
        <f t="shared" si="4"/>
        <v>Compreender fenômenos naturais.</v>
      </c>
      <c r="L34" t="str">
        <f t="shared" si="5"/>
        <v>EF09CI07</v>
      </c>
    </row>
    <row r="35" spans="1:12" x14ac:dyDescent="0.25">
      <c r="D35" t="str">
        <f t="shared" si="0"/>
        <v/>
      </c>
      <c r="E35" t="s">
        <v>550</v>
      </c>
      <c r="F35" t="s">
        <v>551</v>
      </c>
      <c r="G35" t="str">
        <f t="shared" si="1"/>
        <v/>
      </c>
      <c r="H35" t="e">
        <f t="shared" si="2"/>
        <v>#N/A</v>
      </c>
      <c r="J35" t="e">
        <f t="shared" si="3"/>
        <v>#N/A</v>
      </c>
      <c r="K35">
        <f t="shared" si="4"/>
        <v>0</v>
      </c>
      <c r="L35">
        <f t="shared" si="5"/>
        <v>0</v>
      </c>
    </row>
    <row r="36" spans="1:12" x14ac:dyDescent="0.25">
      <c r="A36" t="s">
        <v>760</v>
      </c>
      <c r="B36" t="s">
        <v>711</v>
      </c>
      <c r="D36" t="str">
        <f t="shared" si="0"/>
        <v>HI01</v>
      </c>
      <c r="E36" t="s">
        <v>550</v>
      </c>
      <c r="F36" t="s">
        <v>551</v>
      </c>
      <c r="G36" t="str">
        <f t="shared" si="1"/>
        <v>HI</v>
      </c>
      <c r="H36" t="str">
        <f t="shared" si="2"/>
        <v>História</v>
      </c>
      <c r="J36" t="str">
        <f t="shared" si="3"/>
        <v>História</v>
      </c>
      <c r="K36" t="str">
        <f t="shared" si="4"/>
        <v>Analisar processos históricos.</v>
      </c>
      <c r="L36" t="str">
        <f t="shared" si="5"/>
        <v>EF09HI01</v>
      </c>
    </row>
    <row r="37" spans="1:12" x14ac:dyDescent="0.25">
      <c r="A37" t="s">
        <v>761</v>
      </c>
      <c r="B37" t="s">
        <v>762</v>
      </c>
      <c r="D37" t="str">
        <f t="shared" si="0"/>
        <v>HI02</v>
      </c>
      <c r="E37" t="s">
        <v>550</v>
      </c>
      <c r="F37" t="s">
        <v>551</v>
      </c>
      <c r="G37" t="str">
        <f t="shared" si="1"/>
        <v>HI</v>
      </c>
      <c r="H37" t="str">
        <f t="shared" si="2"/>
        <v>História</v>
      </c>
      <c r="J37" t="str">
        <f t="shared" si="3"/>
        <v>História</v>
      </c>
      <c r="K37" t="str">
        <f t="shared" si="4"/>
        <v>Compreender transformações sociais e culturais.</v>
      </c>
      <c r="L37" t="str">
        <f t="shared" si="5"/>
        <v>EF09HI02</v>
      </c>
    </row>
    <row r="38" spans="1:12" x14ac:dyDescent="0.25">
      <c r="A38" t="s">
        <v>763</v>
      </c>
      <c r="B38" t="s">
        <v>764</v>
      </c>
      <c r="D38" t="str">
        <f t="shared" si="0"/>
        <v>HI03</v>
      </c>
      <c r="E38" t="s">
        <v>550</v>
      </c>
      <c r="F38" t="s">
        <v>551</v>
      </c>
      <c r="G38" t="str">
        <f t="shared" si="1"/>
        <v>HI</v>
      </c>
      <c r="H38" t="str">
        <f t="shared" si="2"/>
        <v>História</v>
      </c>
      <c r="J38" t="str">
        <f t="shared" si="3"/>
        <v>História</v>
      </c>
      <c r="K38" t="str">
        <f t="shared" si="4"/>
        <v>Analisar a formação do mundo contemporâneo.</v>
      </c>
      <c r="L38" t="str">
        <f t="shared" si="5"/>
        <v>EF09HI03</v>
      </c>
    </row>
    <row r="39" spans="1:12" x14ac:dyDescent="0.25">
      <c r="A39" t="s">
        <v>765</v>
      </c>
      <c r="B39" t="s">
        <v>766</v>
      </c>
      <c r="D39" t="str">
        <f t="shared" si="0"/>
        <v>HI04</v>
      </c>
      <c r="E39" t="s">
        <v>550</v>
      </c>
      <c r="F39" t="s">
        <v>551</v>
      </c>
      <c r="G39" t="str">
        <f t="shared" si="1"/>
        <v>HI</v>
      </c>
      <c r="H39" t="str">
        <f t="shared" si="2"/>
        <v>História</v>
      </c>
      <c r="J39" t="str">
        <f t="shared" si="3"/>
        <v>História</v>
      </c>
      <c r="K39" t="str">
        <f t="shared" si="4"/>
        <v>Comparar diferentes culturas.</v>
      </c>
      <c r="L39" t="str">
        <f t="shared" si="5"/>
        <v>EF09HI04</v>
      </c>
    </row>
    <row r="40" spans="1:12" x14ac:dyDescent="0.25">
      <c r="A40" t="s">
        <v>767</v>
      </c>
      <c r="B40" t="s">
        <v>215</v>
      </c>
      <c r="D40" t="str">
        <f t="shared" si="0"/>
        <v>HI05</v>
      </c>
      <c r="E40" t="s">
        <v>550</v>
      </c>
      <c r="F40" t="s">
        <v>551</v>
      </c>
      <c r="G40" t="str">
        <f t="shared" si="1"/>
        <v>HI</v>
      </c>
      <c r="H40" t="str">
        <f t="shared" si="2"/>
        <v>História</v>
      </c>
      <c r="J40" t="str">
        <f t="shared" si="3"/>
        <v>História</v>
      </c>
      <c r="K40" t="str">
        <f t="shared" si="4"/>
        <v>Valorizar a diversidade cultural.</v>
      </c>
      <c r="L40" t="str">
        <f t="shared" si="5"/>
        <v>EF09HI05</v>
      </c>
    </row>
    <row r="41" spans="1:12" x14ac:dyDescent="0.25">
      <c r="D41" t="str">
        <f t="shared" si="0"/>
        <v/>
      </c>
      <c r="E41" t="s">
        <v>550</v>
      </c>
      <c r="F41" t="s">
        <v>551</v>
      </c>
      <c r="G41" t="str">
        <f t="shared" si="1"/>
        <v/>
      </c>
      <c r="H41" t="e">
        <f t="shared" si="2"/>
        <v>#N/A</v>
      </c>
      <c r="J41" t="e">
        <f t="shared" si="3"/>
        <v>#N/A</v>
      </c>
      <c r="K41">
        <f t="shared" si="4"/>
        <v>0</v>
      </c>
      <c r="L41">
        <f t="shared" si="5"/>
        <v>0</v>
      </c>
    </row>
    <row r="42" spans="1:12" x14ac:dyDescent="0.25">
      <c r="A42" t="s">
        <v>768</v>
      </c>
      <c r="B42" t="s">
        <v>714</v>
      </c>
      <c r="D42" t="str">
        <f t="shared" si="0"/>
        <v>GE01</v>
      </c>
      <c r="E42" t="s">
        <v>550</v>
      </c>
      <c r="F42" t="s">
        <v>551</v>
      </c>
      <c r="G42" t="str">
        <f t="shared" si="1"/>
        <v>GE</v>
      </c>
      <c r="H42" t="str">
        <f t="shared" si="2"/>
        <v>Geografia</v>
      </c>
      <c r="J42" t="str">
        <f t="shared" si="3"/>
        <v>Geografia</v>
      </c>
      <c r="K42" t="str">
        <f t="shared" si="4"/>
        <v>Analisar elementos do espaço geográfico.</v>
      </c>
      <c r="L42" t="str">
        <f t="shared" si="5"/>
        <v>EF09GE01</v>
      </c>
    </row>
    <row r="43" spans="1:12" x14ac:dyDescent="0.25">
      <c r="A43" t="s">
        <v>769</v>
      </c>
      <c r="B43" t="s">
        <v>715</v>
      </c>
      <c r="D43" t="str">
        <f t="shared" si="0"/>
        <v>GE02</v>
      </c>
      <c r="E43" t="s">
        <v>550</v>
      </c>
      <c r="F43" t="s">
        <v>551</v>
      </c>
      <c r="G43" t="str">
        <f t="shared" si="1"/>
        <v>GE</v>
      </c>
      <c r="H43" t="str">
        <f t="shared" si="2"/>
        <v>Geografia</v>
      </c>
      <c r="J43" t="str">
        <f t="shared" si="3"/>
        <v>Geografia</v>
      </c>
      <c r="K43" t="str">
        <f t="shared" si="4"/>
        <v>Compreender dinâmicas ambientais.</v>
      </c>
      <c r="L43" t="str">
        <f t="shared" si="5"/>
        <v>EF09GE02</v>
      </c>
    </row>
    <row r="44" spans="1:12" x14ac:dyDescent="0.25">
      <c r="A44" t="s">
        <v>770</v>
      </c>
      <c r="B44" t="s">
        <v>716</v>
      </c>
      <c r="D44" t="str">
        <f t="shared" si="0"/>
        <v>GE03</v>
      </c>
      <c r="E44" t="s">
        <v>550</v>
      </c>
      <c r="F44" t="s">
        <v>551</v>
      </c>
      <c r="G44" t="str">
        <f t="shared" si="1"/>
        <v>GE</v>
      </c>
      <c r="H44" t="str">
        <f t="shared" si="2"/>
        <v>Geografia</v>
      </c>
      <c r="J44" t="str">
        <f t="shared" si="3"/>
        <v>Geografia</v>
      </c>
      <c r="K44" t="str">
        <f t="shared" si="4"/>
        <v>Interpretar mapas, gráficos e tabelas.</v>
      </c>
      <c r="L44" t="str">
        <f t="shared" si="5"/>
        <v>EF09GE03</v>
      </c>
    </row>
    <row r="45" spans="1:12" x14ac:dyDescent="0.25">
      <c r="A45" t="s">
        <v>771</v>
      </c>
      <c r="B45" t="s">
        <v>717</v>
      </c>
      <c r="D45" t="str">
        <f t="shared" si="0"/>
        <v>GE04</v>
      </c>
      <c r="E45" t="s">
        <v>550</v>
      </c>
      <c r="F45" t="s">
        <v>551</v>
      </c>
      <c r="G45" t="str">
        <f t="shared" si="1"/>
        <v>GE</v>
      </c>
      <c r="H45" t="str">
        <f t="shared" si="2"/>
        <v>Geografia</v>
      </c>
      <c r="J45" t="str">
        <f t="shared" si="3"/>
        <v>Geografia</v>
      </c>
      <c r="K45" t="str">
        <f t="shared" si="4"/>
        <v>Analisar a relação sociedade-natureza.</v>
      </c>
      <c r="L45" t="str">
        <f t="shared" si="5"/>
        <v>EF09GE04</v>
      </c>
    </row>
    <row r="46" spans="1:12" x14ac:dyDescent="0.25">
      <c r="A46" t="s">
        <v>772</v>
      </c>
      <c r="B46" t="s">
        <v>363</v>
      </c>
      <c r="D46" t="str">
        <f t="shared" si="0"/>
        <v>GE05</v>
      </c>
      <c r="E46" t="s">
        <v>550</v>
      </c>
      <c r="F46" t="s">
        <v>551</v>
      </c>
      <c r="G46" t="str">
        <f t="shared" si="1"/>
        <v>GE</v>
      </c>
      <c r="H46" t="str">
        <f t="shared" si="2"/>
        <v>Geografia</v>
      </c>
      <c r="J46" t="str">
        <f t="shared" si="3"/>
        <v>Geografia</v>
      </c>
      <c r="K46" t="str">
        <f t="shared" si="4"/>
        <v>Identificar atividades econômicas.</v>
      </c>
      <c r="L46" t="str">
        <f t="shared" si="5"/>
        <v>EF09GE05</v>
      </c>
    </row>
    <row r="47" spans="1:12" x14ac:dyDescent="0.25">
      <c r="D47" t="str">
        <f t="shared" si="0"/>
        <v/>
      </c>
      <c r="E47" t="s">
        <v>550</v>
      </c>
      <c r="F47" t="s">
        <v>551</v>
      </c>
      <c r="G47" t="str">
        <f t="shared" si="1"/>
        <v/>
      </c>
      <c r="H47" t="e">
        <f t="shared" si="2"/>
        <v>#N/A</v>
      </c>
      <c r="J47" t="e">
        <f t="shared" si="3"/>
        <v>#N/A</v>
      </c>
      <c r="K47">
        <f t="shared" si="4"/>
        <v>0</v>
      </c>
      <c r="L47">
        <f t="shared" si="5"/>
        <v>0</v>
      </c>
    </row>
    <row r="48" spans="1:12" x14ac:dyDescent="0.25">
      <c r="A48" t="s">
        <v>773</v>
      </c>
      <c r="B48" t="s">
        <v>185</v>
      </c>
      <c r="D48" t="str">
        <f t="shared" si="0"/>
        <v>AR01</v>
      </c>
      <c r="E48" t="s">
        <v>550</v>
      </c>
      <c r="F48" t="s">
        <v>551</v>
      </c>
      <c r="G48" t="str">
        <f t="shared" si="1"/>
        <v>AR</v>
      </c>
      <c r="H48" t="str">
        <f t="shared" si="2"/>
        <v>Arte</v>
      </c>
      <c r="J48" t="str">
        <f t="shared" si="3"/>
        <v>Arte</v>
      </c>
      <c r="K48" t="str">
        <f t="shared" si="4"/>
        <v>Experimentar diferentes linguagens artísticas.</v>
      </c>
      <c r="L48" t="str">
        <f t="shared" si="5"/>
        <v>EF09AR01</v>
      </c>
    </row>
    <row r="49" spans="1:12" x14ac:dyDescent="0.25">
      <c r="A49" t="s">
        <v>774</v>
      </c>
      <c r="B49" t="s">
        <v>544</v>
      </c>
      <c r="D49" t="str">
        <f t="shared" si="0"/>
        <v>AR02</v>
      </c>
      <c r="E49" t="s">
        <v>550</v>
      </c>
      <c r="F49" t="s">
        <v>551</v>
      </c>
      <c r="G49" t="str">
        <f t="shared" si="1"/>
        <v>AR</v>
      </c>
      <c r="H49" t="str">
        <f t="shared" si="2"/>
        <v>Arte</v>
      </c>
      <c r="J49" t="str">
        <f t="shared" si="3"/>
        <v>Arte</v>
      </c>
      <c r="K49" t="str">
        <f t="shared" si="4"/>
        <v>Analisar elementos das artes visuais.</v>
      </c>
      <c r="L49" t="str">
        <f t="shared" si="5"/>
        <v>EF09AR02</v>
      </c>
    </row>
    <row r="50" spans="1:12" x14ac:dyDescent="0.25">
      <c r="A50" t="s">
        <v>775</v>
      </c>
      <c r="B50" t="s">
        <v>642</v>
      </c>
      <c r="D50" t="str">
        <f t="shared" si="0"/>
        <v>AR03</v>
      </c>
      <c r="E50" t="s">
        <v>550</v>
      </c>
      <c r="F50" t="s">
        <v>551</v>
      </c>
      <c r="G50" t="str">
        <f t="shared" si="1"/>
        <v>AR</v>
      </c>
      <c r="H50" t="str">
        <f t="shared" si="2"/>
        <v>Arte</v>
      </c>
      <c r="J50" t="str">
        <f t="shared" si="3"/>
        <v>Arte</v>
      </c>
      <c r="K50" t="str">
        <f t="shared" si="4"/>
        <v>Explorar sons, ritmos e composições.</v>
      </c>
      <c r="L50" t="str">
        <f t="shared" si="5"/>
        <v>EF09AR03</v>
      </c>
    </row>
    <row r="51" spans="1:12" x14ac:dyDescent="0.25">
      <c r="A51" t="s">
        <v>776</v>
      </c>
      <c r="B51" t="s">
        <v>545</v>
      </c>
      <c r="D51" t="str">
        <f t="shared" si="0"/>
        <v>AR04</v>
      </c>
      <c r="E51" t="s">
        <v>550</v>
      </c>
      <c r="F51" t="s">
        <v>551</v>
      </c>
      <c r="G51" t="str">
        <f t="shared" si="1"/>
        <v>AR</v>
      </c>
      <c r="H51" t="str">
        <f t="shared" si="2"/>
        <v>Arte</v>
      </c>
      <c r="J51" t="str">
        <f t="shared" si="3"/>
        <v>Arte</v>
      </c>
      <c r="K51" t="str">
        <f t="shared" si="4"/>
        <v>Expressar-se corporalmente.</v>
      </c>
      <c r="L51" t="str">
        <f t="shared" si="5"/>
        <v>EF09AR04</v>
      </c>
    </row>
    <row r="53" spans="1:12" x14ac:dyDescent="0.25">
      <c r="A53" t="s">
        <v>777</v>
      </c>
      <c r="B53" t="s">
        <v>546</v>
      </c>
    </row>
    <row r="54" spans="1:12" x14ac:dyDescent="0.25">
      <c r="A54" t="s">
        <v>778</v>
      </c>
      <c r="B54" t="s">
        <v>367</v>
      </c>
    </row>
    <row r="55" spans="1:12" x14ac:dyDescent="0.25">
      <c r="A55" t="s">
        <v>779</v>
      </c>
      <c r="B55" t="s">
        <v>643</v>
      </c>
    </row>
    <row r="56" spans="1:12" x14ac:dyDescent="0.25">
      <c r="A56" t="s">
        <v>780</v>
      </c>
      <c r="B56" t="s">
        <v>226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EAEC-FA6D-4B7C-8705-9F4A8C3D7067}">
  <dimension ref="A1:N25"/>
  <sheetViews>
    <sheetView topLeftCell="B1" workbookViewId="0">
      <selection activeCell="I2" sqref="I2:K25"/>
    </sheetView>
  </sheetViews>
  <sheetFormatPr defaultRowHeight="15" x14ac:dyDescent="0.25"/>
  <cols>
    <col min="1" max="1" width="12.28515625" bestFit="1" customWidth="1"/>
    <col min="2" max="2" width="64.140625" bestFit="1" customWidth="1"/>
    <col min="4" max="4" width="7.7109375" bestFit="1" customWidth="1"/>
    <col min="5" max="5" width="19.42578125" bestFit="1" customWidth="1"/>
    <col min="6" max="6" width="4.42578125" bestFit="1" customWidth="1"/>
    <col min="7" max="7" width="26.42578125" bestFit="1" customWidth="1"/>
    <col min="9" max="9" width="26.42578125" bestFit="1" customWidth="1"/>
    <col min="10" max="10" width="86.85546875" bestFit="1" customWidth="1"/>
    <col min="11" max="11" width="12.28515625" bestFit="1" customWidth="1"/>
    <col min="13" max="13" width="4.7109375" bestFit="1" customWidth="1"/>
    <col min="14" max="14" width="26.42578125" bestFit="1" customWidth="1"/>
  </cols>
  <sheetData>
    <row r="1" spans="1:14" x14ac:dyDescent="0.25">
      <c r="A1" t="s">
        <v>102</v>
      </c>
      <c r="B1" t="s">
        <v>190</v>
      </c>
      <c r="I1" t="s">
        <v>547</v>
      </c>
      <c r="J1" t="s">
        <v>548</v>
      </c>
      <c r="K1" t="s">
        <v>549</v>
      </c>
    </row>
    <row r="2" spans="1:14" x14ac:dyDescent="0.25">
      <c r="A2" t="s">
        <v>782</v>
      </c>
      <c r="B2" t="s">
        <v>783</v>
      </c>
      <c r="D2" t="str">
        <f>RIGHT(A2,6)</f>
        <v>LGG101</v>
      </c>
      <c r="E2" t="s">
        <v>927</v>
      </c>
      <c r="F2" t="str">
        <f>LEFT(D2,3)</f>
        <v>LGG</v>
      </c>
      <c r="G2" t="str">
        <f>VLOOKUP(F2,M:N,2,FALSE)</f>
        <v>Linguagens</v>
      </c>
      <c r="I2" t="str">
        <f>G2</f>
        <v>Linguagens</v>
      </c>
      <c r="J2" t="str">
        <f>B2</f>
        <v>Analisar diferentes linguagens e suas funções em contextos sociais.</v>
      </c>
      <c r="K2" t="str">
        <f>A2</f>
        <v>EM13LGG101</v>
      </c>
    </row>
    <row r="3" spans="1:14" x14ac:dyDescent="0.25">
      <c r="A3" t="s">
        <v>784</v>
      </c>
      <c r="B3" t="s">
        <v>785</v>
      </c>
      <c r="D3" t="str">
        <f t="shared" ref="D3:D25" si="0">RIGHT(A3,6)</f>
        <v>LGG102</v>
      </c>
      <c r="E3" t="s">
        <v>927</v>
      </c>
      <c r="F3" t="str">
        <f t="shared" ref="F3:F25" si="1">LEFT(D3,3)</f>
        <v>LGG</v>
      </c>
      <c r="G3" t="str">
        <f>VLOOKUP(F3,M:N,2,FALSE)</f>
        <v>Linguagens</v>
      </c>
      <c r="I3" t="str">
        <f t="shared" ref="I3:I25" si="2">G3</f>
        <v>Linguagens</v>
      </c>
      <c r="J3" t="str">
        <f>B3</f>
        <v>Compreender processos de produção e circulação de textos.</v>
      </c>
      <c r="K3" t="str">
        <f>A3</f>
        <v>EM13LGG102</v>
      </c>
    </row>
    <row r="4" spans="1:14" x14ac:dyDescent="0.25">
      <c r="A4" t="s">
        <v>786</v>
      </c>
      <c r="B4" t="s">
        <v>787</v>
      </c>
      <c r="D4" t="str">
        <f t="shared" si="0"/>
        <v>LGG103</v>
      </c>
      <c r="E4" t="s">
        <v>927</v>
      </c>
      <c r="F4" t="str">
        <f t="shared" si="1"/>
        <v>LGG</v>
      </c>
      <c r="G4" t="str">
        <f>VLOOKUP(F4,M:N,2,FALSE)</f>
        <v>Linguagens</v>
      </c>
      <c r="I4" t="str">
        <f t="shared" si="2"/>
        <v>Linguagens</v>
      </c>
      <c r="J4" t="str">
        <f>B4</f>
        <v>Analisar discursos e seus efeitos de sentido.</v>
      </c>
      <c r="K4" t="str">
        <f>A4</f>
        <v>EM13LGG103</v>
      </c>
    </row>
    <row r="5" spans="1:14" x14ac:dyDescent="0.25">
      <c r="A5" t="s">
        <v>788</v>
      </c>
      <c r="B5" t="s">
        <v>789</v>
      </c>
      <c r="D5" t="str">
        <f t="shared" si="0"/>
        <v>LGG104</v>
      </c>
      <c r="E5" t="s">
        <v>927</v>
      </c>
      <c r="F5" t="str">
        <f t="shared" si="1"/>
        <v>LGG</v>
      </c>
      <c r="G5" t="str">
        <f>VLOOKUP(F5,M:N,2,FALSE)</f>
        <v>Linguagens</v>
      </c>
      <c r="I5" t="str">
        <f t="shared" si="2"/>
        <v>Linguagens</v>
      </c>
      <c r="J5" t="str">
        <f>B5</f>
        <v>Utilizar diferentes linguagens para se expressar.</v>
      </c>
      <c r="K5" t="str">
        <f>A5</f>
        <v>EM13LGG104</v>
      </c>
    </row>
    <row r="6" spans="1:14" x14ac:dyDescent="0.25">
      <c r="A6" t="s">
        <v>790</v>
      </c>
      <c r="B6" t="s">
        <v>791</v>
      </c>
      <c r="D6" t="str">
        <f t="shared" si="0"/>
        <v>LGG105</v>
      </c>
      <c r="E6" t="s">
        <v>927</v>
      </c>
      <c r="F6" t="str">
        <f t="shared" si="1"/>
        <v>LGG</v>
      </c>
      <c r="G6" t="str">
        <f>VLOOKUP(F6,M:N,2,FALSE)</f>
        <v>Linguagens</v>
      </c>
      <c r="I6" t="str">
        <f t="shared" si="2"/>
        <v>Linguagens</v>
      </c>
      <c r="J6" t="str">
        <f>B6</f>
        <v>Interpretar textos multimodais.</v>
      </c>
      <c r="K6" t="str">
        <f>A6</f>
        <v>EM13LGG105</v>
      </c>
      <c r="M6" t="s">
        <v>552</v>
      </c>
      <c r="N6" t="s">
        <v>553</v>
      </c>
    </row>
    <row r="7" spans="1:14" x14ac:dyDescent="0.25">
      <c r="A7" t="s">
        <v>792</v>
      </c>
      <c r="B7" t="s">
        <v>793</v>
      </c>
      <c r="D7" t="str">
        <f t="shared" si="0"/>
        <v>LGG106</v>
      </c>
      <c r="E7" t="s">
        <v>927</v>
      </c>
      <c r="F7" t="str">
        <f t="shared" si="1"/>
        <v>LGG</v>
      </c>
      <c r="G7" t="str">
        <f>VLOOKUP(F7,M:N,2,FALSE)</f>
        <v>Linguagens</v>
      </c>
      <c r="I7" t="str">
        <f t="shared" si="2"/>
        <v>Linguagens</v>
      </c>
      <c r="J7" t="str">
        <f>B7</f>
        <v>Produzir textos em diferentes gêneros e mídias.</v>
      </c>
      <c r="K7" t="str">
        <f>A7</f>
        <v>EM13LGG106</v>
      </c>
      <c r="M7" t="s">
        <v>104</v>
      </c>
      <c r="N7" t="s">
        <v>105</v>
      </c>
    </row>
    <row r="8" spans="1:14" x14ac:dyDescent="0.25">
      <c r="A8" t="s">
        <v>794</v>
      </c>
      <c r="B8" t="s">
        <v>795</v>
      </c>
      <c r="D8" t="str">
        <f t="shared" si="0"/>
        <v>MAT101</v>
      </c>
      <c r="E8" t="s">
        <v>927</v>
      </c>
      <c r="F8" t="str">
        <f t="shared" si="1"/>
        <v>MAT</v>
      </c>
      <c r="G8" t="str">
        <f>VLOOKUP(F8,M:N,2,FALSE)</f>
        <v>Matemática</v>
      </c>
      <c r="I8" t="str">
        <f t="shared" si="2"/>
        <v>Matemática</v>
      </c>
      <c r="J8" t="str">
        <f>B8</f>
        <v>Resolver problemas envolvendo números reais.</v>
      </c>
      <c r="K8" t="str">
        <f>A8</f>
        <v>EM13MAT101</v>
      </c>
      <c r="M8" t="s">
        <v>556</v>
      </c>
      <c r="N8" t="s">
        <v>557</v>
      </c>
    </row>
    <row r="9" spans="1:14" x14ac:dyDescent="0.25">
      <c r="A9" t="s">
        <v>796</v>
      </c>
      <c r="B9" t="s">
        <v>797</v>
      </c>
      <c r="D9" t="str">
        <f t="shared" si="0"/>
        <v>MAT102</v>
      </c>
      <c r="E9" t="s">
        <v>927</v>
      </c>
      <c r="F9" t="str">
        <f t="shared" si="1"/>
        <v>MAT</v>
      </c>
      <c r="G9" t="str">
        <f>VLOOKUP(F9,M:N,2,FALSE)</f>
        <v>Matemática</v>
      </c>
      <c r="I9" t="str">
        <f t="shared" si="2"/>
        <v>Matemática</v>
      </c>
      <c r="J9" t="str">
        <f>B9</f>
        <v>Compreender funções e suas representações.</v>
      </c>
      <c r="K9" t="str">
        <f>A9</f>
        <v>EM13MAT102</v>
      </c>
      <c r="M9" t="s">
        <v>558</v>
      </c>
      <c r="N9" t="s">
        <v>559</v>
      </c>
    </row>
    <row r="10" spans="1:14" x14ac:dyDescent="0.25">
      <c r="A10" t="s">
        <v>798</v>
      </c>
      <c r="B10" t="s">
        <v>799</v>
      </c>
      <c r="D10" t="str">
        <f t="shared" si="0"/>
        <v>MAT103</v>
      </c>
      <c r="E10" t="s">
        <v>927</v>
      </c>
      <c r="F10" t="str">
        <f t="shared" si="1"/>
        <v>MAT</v>
      </c>
      <c r="G10" t="str">
        <f>VLOOKUP(F10,M:N,2,FALSE)</f>
        <v>Matemática</v>
      </c>
      <c r="I10" t="str">
        <f t="shared" si="2"/>
        <v>Matemática</v>
      </c>
      <c r="J10" t="str">
        <f>B10</f>
        <v>Analisar gráficos e tabelas.</v>
      </c>
      <c r="K10" t="str">
        <f>A10</f>
        <v>EM13MAT103</v>
      </c>
      <c r="M10" t="s">
        <v>560</v>
      </c>
      <c r="N10" t="s">
        <v>561</v>
      </c>
    </row>
    <row r="11" spans="1:14" x14ac:dyDescent="0.25">
      <c r="A11" t="s">
        <v>800</v>
      </c>
      <c r="B11" t="s">
        <v>801</v>
      </c>
      <c r="D11" t="str">
        <f t="shared" si="0"/>
        <v>MAT104</v>
      </c>
      <c r="E11" t="s">
        <v>927</v>
      </c>
      <c r="F11" t="str">
        <f t="shared" si="1"/>
        <v>MAT</v>
      </c>
      <c r="G11" t="str">
        <f>VLOOKUP(F11,M:N,2,FALSE)</f>
        <v>Matemática</v>
      </c>
      <c r="I11" t="str">
        <f t="shared" si="2"/>
        <v>Matemática</v>
      </c>
      <c r="J11" t="str">
        <f>B11</f>
        <v>Resolver problemas envolvendo proporcionalidade.</v>
      </c>
      <c r="K11" t="str">
        <f>A11</f>
        <v>EM13MAT104</v>
      </c>
      <c r="M11" t="s">
        <v>103</v>
      </c>
      <c r="N11" t="s">
        <v>562</v>
      </c>
    </row>
    <row r="12" spans="1:14" x14ac:dyDescent="0.25">
      <c r="A12" t="s">
        <v>802</v>
      </c>
      <c r="B12" t="s">
        <v>803</v>
      </c>
      <c r="D12" t="str">
        <f t="shared" si="0"/>
        <v>MAT105</v>
      </c>
      <c r="E12" t="s">
        <v>927</v>
      </c>
      <c r="F12" t="str">
        <f t="shared" si="1"/>
        <v>MAT</v>
      </c>
      <c r="G12" t="str">
        <f>VLOOKUP(F12,M:N,2,FALSE)</f>
        <v>Matemática</v>
      </c>
      <c r="I12" t="str">
        <f t="shared" si="2"/>
        <v>Matemática</v>
      </c>
      <c r="J12" t="str">
        <f>B12</f>
        <v>Aplicar conceitos algébricos em situações-problema.</v>
      </c>
      <c r="K12" t="str">
        <f>A12</f>
        <v>EM13MAT105</v>
      </c>
      <c r="M12" t="s">
        <v>920</v>
      </c>
      <c r="N12" t="s">
        <v>924</v>
      </c>
    </row>
    <row r="13" spans="1:14" x14ac:dyDescent="0.25">
      <c r="A13" t="s">
        <v>804</v>
      </c>
      <c r="B13" t="s">
        <v>805</v>
      </c>
      <c r="D13" t="str">
        <f t="shared" si="0"/>
        <v>MAT106</v>
      </c>
      <c r="E13" t="s">
        <v>927</v>
      </c>
      <c r="F13" t="str">
        <f t="shared" si="1"/>
        <v>MAT</v>
      </c>
      <c r="G13" t="str">
        <f>VLOOKUP(F13,M:N,2,FALSE)</f>
        <v>Matemática</v>
      </c>
      <c r="I13" t="str">
        <f t="shared" si="2"/>
        <v>Matemática</v>
      </c>
      <c r="J13" t="str">
        <f>B13</f>
        <v>Interpretar dados estatísticos.</v>
      </c>
      <c r="K13" t="str">
        <f>A13</f>
        <v>EM13MAT106</v>
      </c>
      <c r="M13" t="s">
        <v>921</v>
      </c>
      <c r="N13" t="s">
        <v>105</v>
      </c>
    </row>
    <row r="14" spans="1:14" x14ac:dyDescent="0.25">
      <c r="A14" t="s">
        <v>806</v>
      </c>
      <c r="B14" t="s">
        <v>807</v>
      </c>
      <c r="D14" t="str">
        <f t="shared" si="0"/>
        <v>CNT101</v>
      </c>
      <c r="E14" t="s">
        <v>927</v>
      </c>
      <c r="F14" t="str">
        <f t="shared" si="1"/>
        <v>CNT</v>
      </c>
      <c r="G14" t="str">
        <f>VLOOKUP(F14,M:N,2,FALSE)</f>
        <v>Ciências da Natureza</v>
      </c>
      <c r="I14" t="str">
        <f t="shared" si="2"/>
        <v>Ciências da Natureza</v>
      </c>
      <c r="J14" t="str">
        <f>B14</f>
        <v>Compreender fenômenos naturais com base em conceitos científicos.</v>
      </c>
      <c r="K14" t="str">
        <f>A14</f>
        <v>EM13CNT101</v>
      </c>
      <c r="M14" t="s">
        <v>923</v>
      </c>
      <c r="N14" t="s">
        <v>926</v>
      </c>
    </row>
    <row r="15" spans="1:14" x14ac:dyDescent="0.25">
      <c r="A15" t="s">
        <v>808</v>
      </c>
      <c r="B15" t="s">
        <v>809</v>
      </c>
      <c r="D15" t="str">
        <f t="shared" si="0"/>
        <v>CNT102</v>
      </c>
      <c r="E15" t="s">
        <v>927</v>
      </c>
      <c r="F15" t="str">
        <f t="shared" si="1"/>
        <v>CNT</v>
      </c>
      <c r="G15" t="str">
        <f>VLOOKUP(F15,M:N,2,FALSE)</f>
        <v>Ciências da Natureza</v>
      </c>
      <c r="I15" t="str">
        <f t="shared" si="2"/>
        <v>Ciências da Natureza</v>
      </c>
      <c r="J15" t="str">
        <f>B15</f>
        <v>Analisar transformações da matéria e energia.</v>
      </c>
      <c r="K15" t="str">
        <f>A15</f>
        <v>EM13CNT102</v>
      </c>
      <c r="M15" t="s">
        <v>922</v>
      </c>
      <c r="N15" t="s">
        <v>925</v>
      </c>
    </row>
    <row r="16" spans="1:14" x14ac:dyDescent="0.25">
      <c r="A16" t="s">
        <v>810</v>
      </c>
      <c r="B16" t="s">
        <v>826</v>
      </c>
      <c r="D16" t="str">
        <f t="shared" si="0"/>
        <v>CNT103</v>
      </c>
      <c r="E16" t="s">
        <v>927</v>
      </c>
      <c r="F16" t="str">
        <f t="shared" si="1"/>
        <v>CNT</v>
      </c>
      <c r="G16" t="str">
        <f>VLOOKUP(F16,M:N,2,FALSE)</f>
        <v>Ciências da Natureza</v>
      </c>
      <c r="I16" t="str">
        <f t="shared" si="2"/>
        <v>Ciências da Natureza</v>
      </c>
      <c r="J16" t="str">
        <f>B16</f>
        <v>Relacionar ciência,  tecnologia e sociedade.</v>
      </c>
      <c r="K16" t="str">
        <f>A16</f>
        <v>EM13CNT103</v>
      </c>
    </row>
    <row r="17" spans="1:11" x14ac:dyDescent="0.25">
      <c r="A17" t="s">
        <v>811</v>
      </c>
      <c r="B17" t="s">
        <v>812</v>
      </c>
      <c r="D17" t="str">
        <f t="shared" si="0"/>
        <v>CNT104</v>
      </c>
      <c r="E17" t="s">
        <v>927</v>
      </c>
      <c r="F17" t="str">
        <f t="shared" si="1"/>
        <v>CNT</v>
      </c>
      <c r="G17" t="str">
        <f>VLOOKUP(F17,M:N,2,FALSE)</f>
        <v>Ciências da Natureza</v>
      </c>
      <c r="I17" t="str">
        <f t="shared" si="2"/>
        <v>Ciências da Natureza</v>
      </c>
      <c r="J17" t="str">
        <f>B17</f>
        <v>Interpretar fenômenos físicos e químicos.</v>
      </c>
      <c r="K17" t="str">
        <f>A17</f>
        <v>EM13CNT104</v>
      </c>
    </row>
    <row r="18" spans="1:11" x14ac:dyDescent="0.25">
      <c r="A18" t="s">
        <v>813</v>
      </c>
      <c r="B18" t="s">
        <v>814</v>
      </c>
      <c r="D18" t="str">
        <f t="shared" si="0"/>
        <v>CNT105</v>
      </c>
      <c r="E18" t="s">
        <v>927</v>
      </c>
      <c r="F18" t="str">
        <f t="shared" si="1"/>
        <v>CNT</v>
      </c>
      <c r="G18" t="str">
        <f>VLOOKUP(F18,M:N,2,FALSE)</f>
        <v>Ciências da Natureza</v>
      </c>
      <c r="I18" t="str">
        <f t="shared" si="2"/>
        <v>Ciências da Natureza</v>
      </c>
      <c r="J18" t="str">
        <f>B18</f>
        <v>Compreender processos biológicos.</v>
      </c>
      <c r="K18" t="str">
        <f>A18</f>
        <v>EM13CNT105</v>
      </c>
    </row>
    <row r="19" spans="1:11" x14ac:dyDescent="0.25">
      <c r="A19" t="s">
        <v>815</v>
      </c>
      <c r="B19" t="s">
        <v>710</v>
      </c>
      <c r="D19" t="str">
        <f t="shared" si="0"/>
        <v>CNT106</v>
      </c>
      <c r="E19" t="s">
        <v>927</v>
      </c>
      <c r="F19" t="str">
        <f t="shared" si="1"/>
        <v>CNT</v>
      </c>
      <c r="G19" t="str">
        <f>VLOOKUP(F19,M:N,2,FALSE)</f>
        <v>Ciências da Natureza</v>
      </c>
      <c r="I19" t="str">
        <f t="shared" si="2"/>
        <v>Ciências da Natureza</v>
      </c>
      <c r="J19" t="str">
        <f>B19</f>
        <v>Analisar impactos ambientais.</v>
      </c>
      <c r="K19" t="str">
        <f>A19</f>
        <v>EM13CNT106</v>
      </c>
    </row>
    <row r="20" spans="1:11" x14ac:dyDescent="0.25">
      <c r="A20" t="s">
        <v>816</v>
      </c>
      <c r="B20" t="s">
        <v>817</v>
      </c>
      <c r="D20" t="str">
        <f t="shared" si="0"/>
        <v>CHS101</v>
      </c>
      <c r="E20" t="s">
        <v>927</v>
      </c>
      <c r="F20" t="str">
        <f t="shared" si="1"/>
        <v>CHS</v>
      </c>
      <c r="G20" t="str">
        <f>VLOOKUP(F20,M:N,2,FALSE)</f>
        <v>Ciências Humanas e Sociais</v>
      </c>
      <c r="I20" t="str">
        <f t="shared" si="2"/>
        <v>Ciências Humanas e Sociais</v>
      </c>
      <c r="J20" t="str">
        <f>B20</f>
        <v>Analisar processos históricos e sociais.</v>
      </c>
      <c r="K20" t="str">
        <f>A20</f>
        <v>EM13CHS101</v>
      </c>
    </row>
    <row r="21" spans="1:11" x14ac:dyDescent="0.25">
      <c r="A21" t="s">
        <v>818</v>
      </c>
      <c r="B21" t="s">
        <v>819</v>
      </c>
      <c r="D21" t="str">
        <f t="shared" si="0"/>
        <v>CHS102</v>
      </c>
      <c r="E21" t="s">
        <v>927</v>
      </c>
      <c r="F21" t="str">
        <f t="shared" si="1"/>
        <v>CHS</v>
      </c>
      <c r="G21" t="str">
        <f>VLOOKUP(F21,M:N,2,FALSE)</f>
        <v>Ciências Humanas e Sociais</v>
      </c>
      <c r="I21" t="str">
        <f t="shared" si="2"/>
        <v>Ciências Humanas e Sociais</v>
      </c>
      <c r="J21" t="str">
        <f>B21</f>
        <v>Compreender transformações no espaço geográfico.</v>
      </c>
      <c r="K21" t="str">
        <f>A21</f>
        <v>EM13CHS102</v>
      </c>
    </row>
    <row r="22" spans="1:11" x14ac:dyDescent="0.25">
      <c r="A22" t="s">
        <v>820</v>
      </c>
      <c r="B22" t="s">
        <v>821</v>
      </c>
      <c r="D22" t="str">
        <f t="shared" si="0"/>
        <v>CHS103</v>
      </c>
      <c r="E22" t="s">
        <v>927</v>
      </c>
      <c r="F22" t="str">
        <f t="shared" si="1"/>
        <v>CHS</v>
      </c>
      <c r="G22" t="str">
        <f>VLOOKUP(F22,M:N,2,FALSE)</f>
        <v>Ciências Humanas e Sociais</v>
      </c>
      <c r="I22" t="str">
        <f t="shared" si="2"/>
        <v>Ciências Humanas e Sociais</v>
      </c>
      <c r="J22" t="str">
        <f>B22</f>
        <v>Interpretar relações de poder e organização social.</v>
      </c>
      <c r="K22" t="str">
        <f>A22</f>
        <v>EM13CHS103</v>
      </c>
    </row>
    <row r="23" spans="1:11" x14ac:dyDescent="0.25">
      <c r="A23" t="s">
        <v>822</v>
      </c>
      <c r="B23" t="s">
        <v>639</v>
      </c>
      <c r="D23" t="str">
        <f t="shared" si="0"/>
        <v>CHS104</v>
      </c>
      <c r="E23" t="s">
        <v>927</v>
      </c>
      <c r="F23" t="str">
        <f t="shared" si="1"/>
        <v>CHS</v>
      </c>
      <c r="G23" t="str">
        <f>VLOOKUP(F23,M:N,2,FALSE)</f>
        <v>Ciências Humanas e Sociais</v>
      </c>
      <c r="I23" t="str">
        <f t="shared" si="2"/>
        <v>Ciências Humanas e Sociais</v>
      </c>
      <c r="J23" t="str">
        <f>B23</f>
        <v>Analisar diferentes culturas.</v>
      </c>
      <c r="K23" t="str">
        <f>A23</f>
        <v>EM13CHS104</v>
      </c>
    </row>
    <row r="24" spans="1:11" x14ac:dyDescent="0.25">
      <c r="A24" t="s">
        <v>823</v>
      </c>
      <c r="B24" t="s">
        <v>824</v>
      </c>
      <c r="D24" t="str">
        <f t="shared" si="0"/>
        <v>CHS105</v>
      </c>
      <c r="E24" t="s">
        <v>927</v>
      </c>
      <c r="F24" t="str">
        <f t="shared" si="1"/>
        <v>CHS</v>
      </c>
      <c r="G24" t="str">
        <f>VLOOKUP(F24,M:N,2,FALSE)</f>
        <v>Ciências Humanas e Sociais</v>
      </c>
      <c r="I24" t="str">
        <f t="shared" si="2"/>
        <v>Ciências Humanas e Sociais</v>
      </c>
      <c r="J24" t="str">
        <f>B24</f>
        <v>Compreender cidadania e direitos humanos.</v>
      </c>
      <c r="K24" t="str">
        <f>A24</f>
        <v>EM13CHS105</v>
      </c>
    </row>
    <row r="25" spans="1:11" x14ac:dyDescent="0.25">
      <c r="A25" t="s">
        <v>825</v>
      </c>
      <c r="B25" t="s">
        <v>827</v>
      </c>
      <c r="D25" t="str">
        <f t="shared" si="0"/>
        <v>CHS106</v>
      </c>
      <c r="E25" t="s">
        <v>927</v>
      </c>
      <c r="F25" t="str">
        <f t="shared" si="1"/>
        <v>CHS</v>
      </c>
      <c r="G25" t="str">
        <f>VLOOKUP(F25,M:N,2,FALSE)</f>
        <v>Ciências Humanas e Sociais</v>
      </c>
      <c r="I25" t="str">
        <f t="shared" si="2"/>
        <v>Ciências Humanas e Sociais</v>
      </c>
      <c r="J25" t="str">
        <f>B25</f>
        <v>Relacionar sociedade,  economia e política.</v>
      </c>
      <c r="K25" t="str">
        <f>A25</f>
        <v>EM13CHS106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A0FE-DC06-4C07-9A0D-EB7CE54F0B13}">
  <dimension ref="A1:O28"/>
  <sheetViews>
    <sheetView topLeftCell="C1" workbookViewId="0">
      <selection activeCell="I2" sqref="I2:K22"/>
    </sheetView>
  </sheetViews>
  <sheetFormatPr defaultRowHeight="15" x14ac:dyDescent="0.25"/>
  <cols>
    <col min="1" max="1" width="12.28515625" bestFit="1" customWidth="1"/>
    <col min="2" max="2" width="60.28515625" bestFit="1" customWidth="1"/>
    <col min="3" max="3" width="42.7109375" customWidth="1"/>
    <col min="4" max="4" width="7.7109375" bestFit="1" customWidth="1"/>
    <col min="5" max="5" width="19.42578125" bestFit="1" customWidth="1"/>
    <col min="6" max="6" width="4.42578125" bestFit="1" customWidth="1"/>
    <col min="7" max="7" width="26.42578125" bestFit="1" customWidth="1"/>
    <col min="9" max="9" width="26.42578125" bestFit="1" customWidth="1"/>
    <col min="10" max="10" width="86.85546875" bestFit="1" customWidth="1"/>
    <col min="11" max="11" width="12.28515625" bestFit="1" customWidth="1"/>
    <col min="13" max="13" width="4.7109375" bestFit="1" customWidth="1"/>
    <col min="14" max="14" width="26.42578125" bestFit="1" customWidth="1"/>
    <col min="15" max="15" width="17.5703125" bestFit="1" customWidth="1"/>
  </cols>
  <sheetData>
    <row r="1" spans="1:15" x14ac:dyDescent="0.25">
      <c r="A1" t="s">
        <v>102</v>
      </c>
      <c r="B1" t="s">
        <v>190</v>
      </c>
      <c r="I1" t="s">
        <v>547</v>
      </c>
      <c r="J1" t="s">
        <v>548</v>
      </c>
      <c r="K1" t="s">
        <v>549</v>
      </c>
    </row>
    <row r="2" spans="1:15" x14ac:dyDescent="0.25">
      <c r="A2" t="s">
        <v>828</v>
      </c>
      <c r="B2" t="s">
        <v>829</v>
      </c>
      <c r="D2" t="str">
        <f>RIGHT(A2,6)</f>
        <v>LGG201</v>
      </c>
      <c r="E2" t="s">
        <v>927</v>
      </c>
      <c r="F2" t="str">
        <f>LEFT(D2,3)</f>
        <v>LGG</v>
      </c>
      <c r="G2" t="str">
        <f>VLOOKUP(F2,M:N,2,FALSE)</f>
        <v>Linguagens</v>
      </c>
      <c r="I2" t="str">
        <f>G2</f>
        <v>Linguagens</v>
      </c>
      <c r="J2" t="str">
        <f>B2</f>
        <v>Analisar criticamente diferentes linguagens em contextos sociais.</v>
      </c>
      <c r="K2" t="str">
        <f>A2</f>
        <v>EM13LGG201</v>
      </c>
    </row>
    <row r="3" spans="1:15" x14ac:dyDescent="0.25">
      <c r="A3" t="s">
        <v>830</v>
      </c>
      <c r="B3" t="s">
        <v>831</v>
      </c>
      <c r="D3" t="str">
        <f t="shared" ref="D3:D7" si="0">RIGHT(A3,6)</f>
        <v>LGG202</v>
      </c>
      <c r="E3" t="s">
        <v>927</v>
      </c>
      <c r="F3" t="str">
        <f t="shared" ref="F3:F7" si="1">LEFT(D3,3)</f>
        <v>LGG</v>
      </c>
      <c r="G3" t="str">
        <f>VLOOKUP(F3,M:N,2,FALSE)</f>
        <v>Linguagens</v>
      </c>
      <c r="I3" t="str">
        <f t="shared" ref="I3:I7" si="2">G3</f>
        <v>Linguagens</v>
      </c>
      <c r="J3" t="str">
        <f>B3</f>
        <v>Compreender processos de circulação e recepção de textos.</v>
      </c>
      <c r="K3" t="str">
        <f>A3</f>
        <v>EM13LGG202</v>
      </c>
    </row>
    <row r="4" spans="1:15" x14ac:dyDescent="0.25">
      <c r="A4" t="s">
        <v>832</v>
      </c>
      <c r="B4" t="s">
        <v>833</v>
      </c>
      <c r="D4" t="str">
        <f t="shared" si="0"/>
        <v>LGG203</v>
      </c>
      <c r="E4" t="s">
        <v>927</v>
      </c>
      <c r="F4" t="str">
        <f t="shared" si="1"/>
        <v>LGG</v>
      </c>
      <c r="G4" t="str">
        <f>VLOOKUP(F4,M:N,2,FALSE)</f>
        <v>Linguagens</v>
      </c>
      <c r="I4" t="str">
        <f t="shared" si="2"/>
        <v>Linguagens</v>
      </c>
      <c r="J4" t="str">
        <f>B4</f>
        <v>Avaliar discursos e seus efeitos de sentido.</v>
      </c>
      <c r="K4" t="str">
        <f>A4</f>
        <v>EM13LGG203</v>
      </c>
    </row>
    <row r="5" spans="1:15" x14ac:dyDescent="0.25">
      <c r="A5" t="s">
        <v>834</v>
      </c>
      <c r="B5" t="s">
        <v>835</v>
      </c>
      <c r="D5" t="str">
        <f t="shared" si="0"/>
        <v>LGG204</v>
      </c>
      <c r="E5" t="s">
        <v>927</v>
      </c>
      <c r="F5" t="str">
        <f t="shared" si="1"/>
        <v>LGG</v>
      </c>
      <c r="G5" t="str">
        <f>VLOOKUP(F5,M:N,2,FALSE)</f>
        <v>Linguagens</v>
      </c>
      <c r="I5" t="str">
        <f t="shared" si="2"/>
        <v>Linguagens</v>
      </c>
      <c r="J5" t="str">
        <f>B5</f>
        <v>Produzir textos argumentativos em diferentes mídias.</v>
      </c>
      <c r="K5" t="str">
        <f>A5</f>
        <v>EM13LGG204</v>
      </c>
    </row>
    <row r="6" spans="1:15" x14ac:dyDescent="0.25">
      <c r="A6" t="s">
        <v>836</v>
      </c>
      <c r="B6" t="s">
        <v>837</v>
      </c>
      <c r="D6" t="str">
        <f t="shared" si="0"/>
        <v>LGG205</v>
      </c>
      <c r="E6" t="s">
        <v>927</v>
      </c>
      <c r="F6" t="str">
        <f t="shared" si="1"/>
        <v>LGG</v>
      </c>
      <c r="G6" t="str">
        <f>VLOOKUP(F6,M:N,2,FALSE)</f>
        <v>Linguagens</v>
      </c>
      <c r="I6" t="str">
        <f t="shared" si="2"/>
        <v>Linguagens</v>
      </c>
      <c r="J6" t="str">
        <f>B6</f>
        <v>Interpretar textos multimodais de maior complexidade.</v>
      </c>
      <c r="K6" t="str">
        <f>A6</f>
        <v>EM13LGG205</v>
      </c>
      <c r="M6" t="s">
        <v>552</v>
      </c>
      <c r="N6" t="s">
        <v>553</v>
      </c>
      <c r="O6" t="s">
        <v>553</v>
      </c>
    </row>
    <row r="7" spans="1:15" x14ac:dyDescent="0.25">
      <c r="A7" t="s">
        <v>838</v>
      </c>
      <c r="B7" t="s">
        <v>839</v>
      </c>
      <c r="D7" t="str">
        <f t="shared" si="0"/>
        <v>LGG206</v>
      </c>
      <c r="E7" t="s">
        <v>927</v>
      </c>
      <c r="F7" t="str">
        <f t="shared" si="1"/>
        <v>LGG</v>
      </c>
      <c r="G7" t="str">
        <f>VLOOKUP(F7,M:N,2,FALSE)</f>
        <v>Linguagens</v>
      </c>
      <c r="I7" t="str">
        <f t="shared" si="2"/>
        <v>Linguagens</v>
      </c>
      <c r="J7" t="str">
        <f>B7</f>
        <v>Utilizar recursos linguísticos de forma estratégica.</v>
      </c>
      <c r="K7" t="str">
        <f>A7</f>
        <v>EM13LGG206</v>
      </c>
      <c r="M7" t="s">
        <v>104</v>
      </c>
      <c r="N7" t="s">
        <v>105</v>
      </c>
      <c r="O7" t="s">
        <v>105</v>
      </c>
    </row>
    <row r="8" spans="1:15" x14ac:dyDescent="0.25">
      <c r="D8" t="str">
        <f>RIGHT(A9,6)</f>
        <v>MAT201</v>
      </c>
      <c r="E8" t="s">
        <v>927</v>
      </c>
      <c r="F8" t="str">
        <f>LEFT(D8,3)</f>
        <v>MAT</v>
      </c>
      <c r="G8" t="str">
        <f>VLOOKUP(F8,M:N,2,FALSE)</f>
        <v>Matemática</v>
      </c>
      <c r="I8" t="str">
        <f>G8</f>
        <v>Matemática</v>
      </c>
      <c r="J8" t="str">
        <f>B9</f>
        <v>Resolver problemas envolvendo funções.</v>
      </c>
      <c r="K8" t="str">
        <f>A9</f>
        <v>EM13MAT201</v>
      </c>
      <c r="M8" t="s">
        <v>556</v>
      </c>
      <c r="N8" t="s">
        <v>557</v>
      </c>
      <c r="O8" t="s">
        <v>555</v>
      </c>
    </row>
    <row r="9" spans="1:15" x14ac:dyDescent="0.25">
      <c r="A9" t="s">
        <v>840</v>
      </c>
      <c r="B9" t="s">
        <v>841</v>
      </c>
      <c r="D9" t="str">
        <f>RIGHT(A10,6)</f>
        <v>MAT202</v>
      </c>
      <c r="E9" t="s">
        <v>927</v>
      </c>
      <c r="F9" t="str">
        <f>LEFT(D9,3)</f>
        <v>MAT</v>
      </c>
      <c r="G9" t="str">
        <f>VLOOKUP(F9,M:N,2,FALSE)</f>
        <v>Matemática</v>
      </c>
      <c r="I9" t="str">
        <f>G9</f>
        <v>Matemática</v>
      </c>
      <c r="J9" t="str">
        <f>B10</f>
        <v>Analisar gráficos e representações matemáticas.</v>
      </c>
      <c r="K9" t="str">
        <f>A10</f>
        <v>EM13MAT202</v>
      </c>
      <c r="M9" t="s">
        <v>558</v>
      </c>
      <c r="N9" t="s">
        <v>559</v>
      </c>
      <c r="O9" t="s">
        <v>557</v>
      </c>
    </row>
    <row r="10" spans="1:15" x14ac:dyDescent="0.25">
      <c r="A10" t="s">
        <v>842</v>
      </c>
      <c r="B10" t="s">
        <v>843</v>
      </c>
      <c r="D10" t="str">
        <f>RIGHT(A11,6)</f>
        <v>MAT203</v>
      </c>
      <c r="E10" t="s">
        <v>927</v>
      </c>
      <c r="F10" t="str">
        <f>LEFT(D10,3)</f>
        <v>MAT</v>
      </c>
      <c r="G10" t="str">
        <f>VLOOKUP(F10,M:N,2,FALSE)</f>
        <v>Matemática</v>
      </c>
      <c r="I10" t="str">
        <f>G10</f>
        <v>Matemática</v>
      </c>
      <c r="J10" t="str">
        <f>B11</f>
        <v>Aplicar conceitos de geometria em situações-problema.</v>
      </c>
      <c r="K10" t="str">
        <f>A11</f>
        <v>EM13MAT203</v>
      </c>
      <c r="M10" t="s">
        <v>560</v>
      </c>
      <c r="N10" t="s">
        <v>561</v>
      </c>
      <c r="O10" t="s">
        <v>559</v>
      </c>
    </row>
    <row r="11" spans="1:15" x14ac:dyDescent="0.25">
      <c r="A11" t="s">
        <v>844</v>
      </c>
      <c r="B11" t="s">
        <v>845</v>
      </c>
      <c r="D11" t="str">
        <f>RIGHT(A12,6)</f>
        <v>MAT204</v>
      </c>
      <c r="E11" t="s">
        <v>927</v>
      </c>
      <c r="F11" t="str">
        <f>LEFT(D11,3)</f>
        <v>MAT</v>
      </c>
      <c r="G11" t="str">
        <f>VLOOKUP(F11,M:N,2,FALSE)</f>
        <v>Matemática</v>
      </c>
      <c r="I11" t="str">
        <f>G11</f>
        <v>Matemática</v>
      </c>
      <c r="J11" t="str">
        <f>B12</f>
        <v>Resolver problemas envolvendo probabilidade.</v>
      </c>
      <c r="K11" t="str">
        <f>A12</f>
        <v>EM13MAT204</v>
      </c>
      <c r="M11" t="s">
        <v>103</v>
      </c>
      <c r="N11" t="s">
        <v>562</v>
      </c>
      <c r="O11" t="s">
        <v>561</v>
      </c>
    </row>
    <row r="12" spans="1:15" x14ac:dyDescent="0.25">
      <c r="A12" t="s">
        <v>846</v>
      </c>
      <c r="B12" t="s">
        <v>847</v>
      </c>
      <c r="D12" t="str">
        <f>RIGHT(A13,6)</f>
        <v>MAT205</v>
      </c>
      <c r="E12" t="s">
        <v>927</v>
      </c>
      <c r="F12" t="str">
        <f>LEFT(D12,3)</f>
        <v>MAT</v>
      </c>
      <c r="G12" t="str">
        <f>VLOOKUP(F12,M:N,2,FALSE)</f>
        <v>Matemática</v>
      </c>
      <c r="I12" t="str">
        <f>G12</f>
        <v>Matemática</v>
      </c>
      <c r="J12" t="str">
        <f>B13</f>
        <v>Interpretar dados estatísticos.</v>
      </c>
      <c r="K12" t="str">
        <f>A13</f>
        <v>EM13MAT205</v>
      </c>
      <c r="M12" t="s">
        <v>920</v>
      </c>
      <c r="N12" t="s">
        <v>924</v>
      </c>
      <c r="O12" t="s">
        <v>562</v>
      </c>
    </row>
    <row r="13" spans="1:15" x14ac:dyDescent="0.25">
      <c r="A13" t="s">
        <v>848</v>
      </c>
      <c r="B13" t="s">
        <v>805</v>
      </c>
      <c r="D13" t="str">
        <f>RIGHT(A14,6)</f>
        <v>MAT206</v>
      </c>
      <c r="E13" t="s">
        <v>927</v>
      </c>
      <c r="F13" t="str">
        <f>LEFT(D13,3)</f>
        <v>MAT</v>
      </c>
      <c r="G13" t="str">
        <f>VLOOKUP(F13,M:N,2,FALSE)</f>
        <v>Matemática</v>
      </c>
      <c r="I13" t="str">
        <f>G13</f>
        <v>Matemática</v>
      </c>
      <c r="J13" t="str">
        <f>B14</f>
        <v>Modelar situações reais com matemática.</v>
      </c>
      <c r="K13" t="str">
        <f>A14</f>
        <v>EM13MAT206</v>
      </c>
      <c r="M13" t="s">
        <v>921</v>
      </c>
      <c r="N13" t="s">
        <v>105</v>
      </c>
    </row>
    <row r="14" spans="1:15" x14ac:dyDescent="0.25">
      <c r="A14" t="s">
        <v>849</v>
      </c>
      <c r="B14" t="s">
        <v>850</v>
      </c>
      <c r="D14" t="str">
        <f>RIGHT(A16,6)</f>
        <v>CNT201</v>
      </c>
      <c r="E14" t="s">
        <v>927</v>
      </c>
      <c r="F14" t="str">
        <f>LEFT(D14,3)</f>
        <v>CNT</v>
      </c>
      <c r="G14" t="str">
        <f>VLOOKUP(F14,M:N,2,FALSE)</f>
        <v>Ciências da Natureza</v>
      </c>
      <c r="I14" t="str">
        <f>G14</f>
        <v>Ciências da Natureza</v>
      </c>
      <c r="J14" t="str">
        <f>B16</f>
        <v>Analisar fenômenos naturais com base científica.</v>
      </c>
      <c r="K14" t="str">
        <f>A16</f>
        <v>EM13CNT201</v>
      </c>
      <c r="M14" t="s">
        <v>923</v>
      </c>
      <c r="N14" t="s">
        <v>926</v>
      </c>
    </row>
    <row r="15" spans="1:15" x14ac:dyDescent="0.25">
      <c r="D15" t="str">
        <f>RIGHT(A17,6)</f>
        <v>CNT202</v>
      </c>
      <c r="E15" t="s">
        <v>927</v>
      </c>
      <c r="F15" t="str">
        <f>LEFT(D15,3)</f>
        <v>CNT</v>
      </c>
      <c r="G15" t="str">
        <f>VLOOKUP(F15,M:N,2,FALSE)</f>
        <v>Ciências da Natureza</v>
      </c>
      <c r="I15" t="str">
        <f>G15</f>
        <v>Ciências da Natureza</v>
      </c>
      <c r="J15" t="str">
        <f>B17</f>
        <v>Compreender transformações químicas e físicas.</v>
      </c>
      <c r="K15" t="str">
        <f>A17</f>
        <v>EM13CNT202</v>
      </c>
      <c r="M15" t="s">
        <v>922</v>
      </c>
      <c r="N15" t="s">
        <v>925</v>
      </c>
    </row>
    <row r="16" spans="1:15" x14ac:dyDescent="0.25">
      <c r="A16" t="s">
        <v>851</v>
      </c>
      <c r="B16" t="s">
        <v>852</v>
      </c>
      <c r="D16" t="str">
        <f>RIGHT(A18,6)</f>
        <v>CNT203</v>
      </c>
      <c r="E16" t="s">
        <v>927</v>
      </c>
      <c r="F16" t="str">
        <f>LEFT(D16,3)</f>
        <v>CNT</v>
      </c>
      <c r="G16" t="str">
        <f>VLOOKUP(F16,M:N,2,FALSE)</f>
        <v>Ciências da Natureza</v>
      </c>
      <c r="I16" t="str">
        <f>G16</f>
        <v>Ciências da Natureza</v>
      </c>
      <c r="J16" t="str">
        <f>B18</f>
        <v>Relacionar ciência,  tecnologia e sociedade.</v>
      </c>
      <c r="K16" t="str">
        <f>A18</f>
        <v>EM13CNT203</v>
      </c>
    </row>
    <row r="17" spans="1:11" x14ac:dyDescent="0.25">
      <c r="A17" t="s">
        <v>853</v>
      </c>
      <c r="B17" t="s">
        <v>854</v>
      </c>
      <c r="D17" t="str">
        <f>RIGHT(A19,6)</f>
        <v>CNT204</v>
      </c>
      <c r="E17" t="s">
        <v>927</v>
      </c>
      <c r="F17" t="str">
        <f>LEFT(D17,3)</f>
        <v>CNT</v>
      </c>
      <c r="G17" t="str">
        <f>VLOOKUP(F17,M:N,2,FALSE)</f>
        <v>Ciências da Natureza</v>
      </c>
      <c r="I17" t="str">
        <f>G17</f>
        <v>Ciências da Natureza</v>
      </c>
      <c r="J17" t="str">
        <f>B19</f>
        <v>Interpretar fenômenos físicos.</v>
      </c>
      <c r="K17" t="str">
        <f>A19</f>
        <v>EM13CNT204</v>
      </c>
    </row>
    <row r="18" spans="1:11" x14ac:dyDescent="0.25">
      <c r="A18" t="s">
        <v>855</v>
      </c>
      <c r="B18" t="s">
        <v>826</v>
      </c>
      <c r="D18" t="str">
        <f>RIGHT(A20,6)</f>
        <v>CNT205</v>
      </c>
      <c r="E18" t="s">
        <v>927</v>
      </c>
      <c r="F18" t="str">
        <f>LEFT(D18,3)</f>
        <v>CNT</v>
      </c>
      <c r="G18" t="str">
        <f>VLOOKUP(F18,M:N,2,FALSE)</f>
        <v>Ciências da Natureza</v>
      </c>
      <c r="I18" t="str">
        <f>G18</f>
        <v>Ciências da Natureza</v>
      </c>
      <c r="J18" t="str">
        <f>B20</f>
        <v>Compreender processos biológicos.</v>
      </c>
      <c r="K18" t="str">
        <f>A20</f>
        <v>EM13CNT205</v>
      </c>
    </row>
    <row r="19" spans="1:11" x14ac:dyDescent="0.25">
      <c r="A19" t="s">
        <v>856</v>
      </c>
      <c r="B19" t="s">
        <v>857</v>
      </c>
      <c r="D19" t="str">
        <f>RIGHT(A21,6)</f>
        <v>CNT206</v>
      </c>
      <c r="E19" t="s">
        <v>927</v>
      </c>
      <c r="F19" t="str">
        <f>LEFT(D19,3)</f>
        <v>CNT</v>
      </c>
      <c r="G19" t="str">
        <f>VLOOKUP(F19,M:N,2,FALSE)</f>
        <v>Ciências da Natureza</v>
      </c>
      <c r="I19" t="str">
        <f>G19</f>
        <v>Ciências da Natureza</v>
      </c>
      <c r="J19" t="str">
        <f>B21</f>
        <v>Avaliar impactos ambientais.</v>
      </c>
      <c r="K19" t="str">
        <f>A21</f>
        <v>EM13CNT206</v>
      </c>
    </row>
    <row r="20" spans="1:11" x14ac:dyDescent="0.25">
      <c r="A20" t="s">
        <v>858</v>
      </c>
      <c r="B20" t="s">
        <v>814</v>
      </c>
      <c r="D20" t="str">
        <f>RIGHT(A23,6)</f>
        <v>CHS201</v>
      </c>
      <c r="E20" t="s">
        <v>927</v>
      </c>
      <c r="F20" t="str">
        <f>LEFT(D20,3)</f>
        <v>CHS</v>
      </c>
      <c r="G20" t="str">
        <f>VLOOKUP(F20,M:N,2,FALSE)</f>
        <v>Ciências Humanas e Sociais</v>
      </c>
      <c r="I20" t="str">
        <f>G20</f>
        <v>Ciências Humanas e Sociais</v>
      </c>
      <c r="J20" t="str">
        <f>B23</f>
        <v>Analisar processos históricos e sociais.</v>
      </c>
      <c r="K20" t="str">
        <f>A23</f>
        <v>EM13CHS201</v>
      </c>
    </row>
    <row r="21" spans="1:11" x14ac:dyDescent="0.25">
      <c r="A21" t="s">
        <v>859</v>
      </c>
      <c r="B21" t="s">
        <v>860</v>
      </c>
      <c r="D21" t="str">
        <f>RIGHT(A24,6)</f>
        <v>CHS202</v>
      </c>
      <c r="E21" t="s">
        <v>927</v>
      </c>
      <c r="F21" t="str">
        <f>LEFT(D21,3)</f>
        <v>CHS</v>
      </c>
      <c r="G21" t="str">
        <f>VLOOKUP(F21,M:N,2,FALSE)</f>
        <v>Ciências Humanas e Sociais</v>
      </c>
      <c r="I21" t="str">
        <f>G21</f>
        <v>Ciências Humanas e Sociais</v>
      </c>
      <c r="J21" t="str">
        <f>B24</f>
        <v>Compreender dinâmicas do espaço geográfico.</v>
      </c>
      <c r="K21" t="str">
        <f>A24</f>
        <v>EM13CHS202</v>
      </c>
    </row>
    <row r="22" spans="1:11" x14ac:dyDescent="0.25">
      <c r="D22" t="str">
        <f>RIGHT(A25,6)</f>
        <v>CHS203</v>
      </c>
      <c r="E22" t="s">
        <v>927</v>
      </c>
      <c r="F22" t="str">
        <f>LEFT(D22,3)</f>
        <v>CHS</v>
      </c>
      <c r="G22" t="str">
        <f>VLOOKUP(F22,M:N,2,FALSE)</f>
        <v>Ciências Humanas e Sociais</v>
      </c>
      <c r="I22" t="str">
        <f>G22</f>
        <v>Ciências Humanas e Sociais</v>
      </c>
      <c r="J22" t="str">
        <f>B25</f>
        <v>Interpretar relações de poder.</v>
      </c>
      <c r="K22" t="str">
        <f>A25</f>
        <v>EM13CHS203</v>
      </c>
    </row>
    <row r="23" spans="1:11" x14ac:dyDescent="0.25">
      <c r="A23" t="s">
        <v>861</v>
      </c>
      <c r="B23" t="s">
        <v>817</v>
      </c>
    </row>
    <row r="24" spans="1:11" x14ac:dyDescent="0.25">
      <c r="A24" t="s">
        <v>862</v>
      </c>
      <c r="B24" t="s">
        <v>863</v>
      </c>
    </row>
    <row r="25" spans="1:11" x14ac:dyDescent="0.25">
      <c r="A25" t="s">
        <v>864</v>
      </c>
      <c r="B25" t="s">
        <v>865</v>
      </c>
    </row>
    <row r="26" spans="1:11" x14ac:dyDescent="0.25">
      <c r="A26" t="s">
        <v>866</v>
      </c>
      <c r="B26" t="s">
        <v>867</v>
      </c>
    </row>
    <row r="27" spans="1:11" x14ac:dyDescent="0.25">
      <c r="A27" t="s">
        <v>868</v>
      </c>
      <c r="B27" t="s">
        <v>869</v>
      </c>
    </row>
    <row r="28" spans="1:11" x14ac:dyDescent="0.25">
      <c r="A28" t="s">
        <v>870</v>
      </c>
      <c r="B28" t="s">
        <v>871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57DF-81E2-4782-BCAE-E5E29C6D35C1}">
  <dimension ref="A1:N25"/>
  <sheetViews>
    <sheetView topLeftCell="C1" zoomScaleNormal="100" workbookViewId="0">
      <selection activeCell="I2" sqref="I2:K22"/>
    </sheetView>
  </sheetViews>
  <sheetFormatPr defaultRowHeight="15" x14ac:dyDescent="0.25"/>
  <cols>
    <col min="1" max="1" width="12.28515625" bestFit="1" customWidth="1"/>
    <col min="2" max="2" width="61.7109375" bestFit="1" customWidth="1"/>
    <col min="3" max="3" width="35.42578125" bestFit="1" customWidth="1"/>
    <col min="4" max="4" width="7.7109375" bestFit="1" customWidth="1"/>
    <col min="5" max="5" width="19.42578125" bestFit="1" customWidth="1"/>
    <col min="6" max="6" width="4.42578125" bestFit="1" customWidth="1"/>
    <col min="7" max="7" width="26.42578125" bestFit="1" customWidth="1"/>
    <col min="9" max="9" width="26.42578125" bestFit="1" customWidth="1"/>
    <col min="10" max="10" width="86.85546875" bestFit="1" customWidth="1"/>
    <col min="11" max="11" width="12.28515625" bestFit="1" customWidth="1"/>
    <col min="13" max="13" width="4.7109375" bestFit="1" customWidth="1"/>
    <col min="14" max="14" width="26.42578125" bestFit="1" customWidth="1"/>
    <col min="15" max="15" width="17.5703125" bestFit="1" customWidth="1"/>
  </cols>
  <sheetData>
    <row r="1" spans="1:14" x14ac:dyDescent="0.25">
      <c r="A1" t="s">
        <v>102</v>
      </c>
      <c r="B1" t="s">
        <v>190</v>
      </c>
      <c r="I1" t="s">
        <v>547</v>
      </c>
      <c r="J1" t="s">
        <v>548</v>
      </c>
      <c r="K1" t="s">
        <v>549</v>
      </c>
    </row>
    <row r="2" spans="1:14" x14ac:dyDescent="0.25">
      <c r="A2" t="s">
        <v>872</v>
      </c>
      <c r="B2" t="s">
        <v>873</v>
      </c>
      <c r="D2" t="str">
        <f>RIGHT(A2,6)</f>
        <v>LGG301</v>
      </c>
      <c r="E2" t="s">
        <v>927</v>
      </c>
      <c r="F2" t="str">
        <f>LEFT(D2,3)</f>
        <v>LGG</v>
      </c>
      <c r="G2" t="str">
        <f>VLOOKUP(F2,M:N,2,FALSE)</f>
        <v>Linguagens</v>
      </c>
      <c r="I2" t="str">
        <f>G2</f>
        <v>Linguagens</v>
      </c>
      <c r="J2" t="str">
        <f>B2</f>
        <v>Analisar criticamente discursos em diferentes linguagens e mídias.</v>
      </c>
      <c r="K2" t="str">
        <f>A2</f>
        <v>EM13LGG301</v>
      </c>
    </row>
    <row r="3" spans="1:14" x14ac:dyDescent="0.25">
      <c r="A3" t="s">
        <v>874</v>
      </c>
      <c r="B3" t="s">
        <v>875</v>
      </c>
      <c r="D3" t="str">
        <f t="shared" ref="D3:D7" si="0">RIGHT(A3,6)</f>
        <v>LGG302</v>
      </c>
      <c r="E3" t="s">
        <v>927</v>
      </c>
      <c r="F3" t="str">
        <f t="shared" ref="F3:F7" si="1">LEFT(D3,3)</f>
        <v>LGG</v>
      </c>
      <c r="G3" t="str">
        <f>VLOOKUP(F3,M:N,2,FALSE)</f>
        <v>Linguagens</v>
      </c>
      <c r="I3" t="str">
        <f t="shared" ref="I3:I7" si="2">G3</f>
        <v>Linguagens</v>
      </c>
      <c r="J3" t="str">
        <f>B3</f>
        <v>Avaliar estratégias argumentativas em textos.</v>
      </c>
      <c r="K3" t="str">
        <f>A3</f>
        <v>EM13LGG302</v>
      </c>
    </row>
    <row r="4" spans="1:14" x14ac:dyDescent="0.25">
      <c r="A4" t="s">
        <v>876</v>
      </c>
      <c r="B4" t="s">
        <v>877</v>
      </c>
      <c r="D4" t="str">
        <f t="shared" si="0"/>
        <v>LGG303</v>
      </c>
      <c r="E4" t="s">
        <v>927</v>
      </c>
      <c r="F4" t="str">
        <f t="shared" si="1"/>
        <v>LGG</v>
      </c>
      <c r="G4" t="str">
        <f>VLOOKUP(F4,M:N,2,FALSE)</f>
        <v>Linguagens</v>
      </c>
      <c r="I4" t="str">
        <f t="shared" si="2"/>
        <v>Linguagens</v>
      </c>
      <c r="J4" t="str">
        <f>B4</f>
        <v>Produzir textos argumentativos com consistência e autoria.</v>
      </c>
      <c r="K4" t="str">
        <f>A4</f>
        <v>EM13LGG303</v>
      </c>
    </row>
    <row r="5" spans="1:14" x14ac:dyDescent="0.25">
      <c r="A5" t="s">
        <v>878</v>
      </c>
      <c r="B5" t="s">
        <v>879</v>
      </c>
      <c r="D5" t="str">
        <f t="shared" si="0"/>
        <v>LGG304</v>
      </c>
      <c r="E5" t="s">
        <v>927</v>
      </c>
      <c r="F5" t="str">
        <f t="shared" si="1"/>
        <v>LGG</v>
      </c>
      <c r="G5" t="str">
        <f>VLOOKUP(F5,M:N,2,FALSE)</f>
        <v>Linguagens</v>
      </c>
      <c r="I5" t="str">
        <f t="shared" si="2"/>
        <v>Linguagens</v>
      </c>
      <c r="J5" t="str">
        <f>B5</f>
        <v>Interpretar textos multimodais complexos.</v>
      </c>
      <c r="K5" t="str">
        <f>A5</f>
        <v>EM13LGG304</v>
      </c>
    </row>
    <row r="6" spans="1:14" x14ac:dyDescent="0.25">
      <c r="A6" t="s">
        <v>880</v>
      </c>
      <c r="B6" t="s">
        <v>881</v>
      </c>
      <c r="D6" t="str">
        <f t="shared" si="0"/>
        <v>LGG305</v>
      </c>
      <c r="E6" t="s">
        <v>927</v>
      </c>
      <c r="F6" t="str">
        <f t="shared" si="1"/>
        <v>LGG</v>
      </c>
      <c r="G6" t="str">
        <f>VLOOKUP(F6,M:N,2,FALSE)</f>
        <v>Linguagens</v>
      </c>
      <c r="I6" t="str">
        <f t="shared" si="2"/>
        <v>Linguagens</v>
      </c>
      <c r="J6" t="str">
        <f>B6</f>
        <v>Utilizar recursos linguísticos de forma estratégica e crítica.</v>
      </c>
      <c r="K6" t="str">
        <f>A6</f>
        <v>EM13LGG305</v>
      </c>
      <c r="M6" t="s">
        <v>552</v>
      </c>
      <c r="N6" t="s">
        <v>553</v>
      </c>
    </row>
    <row r="7" spans="1:14" x14ac:dyDescent="0.25">
      <c r="A7" t="s">
        <v>882</v>
      </c>
      <c r="B7" t="s">
        <v>883</v>
      </c>
      <c r="D7" t="str">
        <f t="shared" si="0"/>
        <v>LGG306</v>
      </c>
      <c r="E7" t="s">
        <v>927</v>
      </c>
      <c r="F7" t="str">
        <f t="shared" si="1"/>
        <v>LGG</v>
      </c>
      <c r="G7" t="str">
        <f>VLOOKUP(F7,M:N,2,FALSE)</f>
        <v>Linguagens</v>
      </c>
      <c r="I7" t="str">
        <f t="shared" si="2"/>
        <v>Linguagens</v>
      </c>
      <c r="J7" t="str">
        <f>B7</f>
        <v>Analisar práticas de linguagem em contextos sociais diversos.</v>
      </c>
      <c r="K7" t="str">
        <f>A7</f>
        <v>EM13LGG306</v>
      </c>
      <c r="M7" t="s">
        <v>104</v>
      </c>
      <c r="N7" t="s">
        <v>105</v>
      </c>
    </row>
    <row r="8" spans="1:14" x14ac:dyDescent="0.25">
      <c r="A8" t="s">
        <v>884</v>
      </c>
      <c r="B8" t="s">
        <v>885</v>
      </c>
      <c r="D8" t="str">
        <f>RIGHT(A8,6)</f>
        <v>MAT301</v>
      </c>
      <c r="E8" t="s">
        <v>927</v>
      </c>
      <c r="F8" t="str">
        <f>LEFT(D8,3)</f>
        <v>MAT</v>
      </c>
      <c r="G8" t="str">
        <f>VLOOKUP(F8,M:N,2,FALSE)</f>
        <v>Matemática</v>
      </c>
      <c r="I8" t="str">
        <f>G8</f>
        <v>Matemática</v>
      </c>
      <c r="J8" t="str">
        <f>B8</f>
        <v>Resolver problemas complexos envolvendo funções.</v>
      </c>
      <c r="K8" t="str">
        <f>A8</f>
        <v>EM13MAT301</v>
      </c>
      <c r="M8" t="s">
        <v>556</v>
      </c>
      <c r="N8" t="s">
        <v>557</v>
      </c>
    </row>
    <row r="9" spans="1:14" x14ac:dyDescent="0.25">
      <c r="A9" t="s">
        <v>886</v>
      </c>
      <c r="B9" t="s">
        <v>887</v>
      </c>
      <c r="D9" t="str">
        <f>RIGHT(A9,6)</f>
        <v>MAT302</v>
      </c>
      <c r="E9" t="s">
        <v>927</v>
      </c>
      <c r="F9" t="str">
        <f>LEFT(D9,3)</f>
        <v>MAT</v>
      </c>
      <c r="G9" t="str">
        <f>VLOOKUP(F9,M:N,2,FALSE)</f>
        <v>Matemática</v>
      </c>
      <c r="I9" t="str">
        <f>G9</f>
        <v>Matemática</v>
      </c>
      <c r="J9" t="str">
        <f>B9</f>
        <v>Analisar e interpretar gráficos e modelos matemáticos.</v>
      </c>
      <c r="K9" t="str">
        <f>A9</f>
        <v>EM13MAT302</v>
      </c>
      <c r="M9" t="s">
        <v>558</v>
      </c>
      <c r="N9" t="s">
        <v>559</v>
      </c>
    </row>
    <row r="10" spans="1:14" x14ac:dyDescent="0.25">
      <c r="A10" t="s">
        <v>888</v>
      </c>
      <c r="B10" t="s">
        <v>889</v>
      </c>
      <c r="D10" t="str">
        <f>RIGHT(A10,6)</f>
        <v>MAT303</v>
      </c>
      <c r="E10" t="s">
        <v>927</v>
      </c>
      <c r="F10" t="str">
        <f>LEFT(D10,3)</f>
        <v>MAT</v>
      </c>
      <c r="G10" t="str">
        <f>VLOOKUP(F10,M:N,2,FALSE)</f>
        <v>Matemática</v>
      </c>
      <c r="I10" t="str">
        <f>G10</f>
        <v>Matemática</v>
      </c>
      <c r="J10" t="str">
        <f>B10</f>
        <v>Aplicar conceitos de geometria analítica.</v>
      </c>
      <c r="K10" t="str">
        <f>A10</f>
        <v>EM13MAT303</v>
      </c>
      <c r="M10" t="s">
        <v>560</v>
      </c>
      <c r="N10" t="s">
        <v>561</v>
      </c>
    </row>
    <row r="11" spans="1:14" x14ac:dyDescent="0.25">
      <c r="A11" t="s">
        <v>890</v>
      </c>
      <c r="B11" t="s">
        <v>891</v>
      </c>
      <c r="D11" t="str">
        <f>RIGHT(A11,6)</f>
        <v>MAT304</v>
      </c>
      <c r="E11" t="s">
        <v>927</v>
      </c>
      <c r="F11" t="str">
        <f>LEFT(D11,3)</f>
        <v>MAT</v>
      </c>
      <c r="G11" t="str">
        <f>VLOOKUP(F11,M:N,2,FALSE)</f>
        <v>Matemática</v>
      </c>
      <c r="I11" t="str">
        <f>G11</f>
        <v>Matemática</v>
      </c>
      <c r="J11" t="str">
        <f>B11</f>
        <v>Resolver problemas envolvendo probabilidade e estatística.</v>
      </c>
      <c r="K11" t="str">
        <f>A11</f>
        <v>EM13MAT304</v>
      </c>
      <c r="M11" t="s">
        <v>103</v>
      </c>
      <c r="N11" t="s">
        <v>562</v>
      </c>
    </row>
    <row r="12" spans="1:14" x14ac:dyDescent="0.25">
      <c r="A12" t="s">
        <v>892</v>
      </c>
      <c r="B12" t="s">
        <v>893</v>
      </c>
      <c r="D12" t="str">
        <f>RIGHT(A12,6)</f>
        <v>MAT305</v>
      </c>
      <c r="E12" t="s">
        <v>927</v>
      </c>
      <c r="F12" t="str">
        <f>LEFT(D12,3)</f>
        <v>MAT</v>
      </c>
      <c r="G12" t="str">
        <f>VLOOKUP(F12,M:N,2,FALSE)</f>
        <v>Matemática</v>
      </c>
      <c r="I12" t="str">
        <f>G12</f>
        <v>Matemática</v>
      </c>
      <c r="J12" t="str">
        <f>B12</f>
        <v>Modelar situações reais com ferramentas matemáticas.</v>
      </c>
      <c r="K12" t="str">
        <f>A12</f>
        <v>EM13MAT305</v>
      </c>
      <c r="M12" t="s">
        <v>920</v>
      </c>
      <c r="N12" t="s">
        <v>924</v>
      </c>
    </row>
    <row r="13" spans="1:14" x14ac:dyDescent="0.25">
      <c r="A13" t="s">
        <v>894</v>
      </c>
      <c r="B13" t="s">
        <v>895</v>
      </c>
      <c r="D13" t="str">
        <f>RIGHT(A13,6)</f>
        <v>MAT306</v>
      </c>
      <c r="E13" t="s">
        <v>927</v>
      </c>
      <c r="F13" t="str">
        <f>LEFT(D13,3)</f>
        <v>MAT</v>
      </c>
      <c r="G13" t="str">
        <f>VLOOKUP(F13,M:N,2,FALSE)</f>
        <v>Matemática</v>
      </c>
      <c r="I13" t="str">
        <f>G13</f>
        <v>Matemática</v>
      </c>
      <c r="J13" t="str">
        <f>B13</f>
        <v>Avaliar resultados e estratégias matemáticas.</v>
      </c>
      <c r="K13" t="str">
        <f>A13</f>
        <v>EM13MAT306</v>
      </c>
      <c r="M13" t="s">
        <v>921</v>
      </c>
      <c r="N13" t="s">
        <v>105</v>
      </c>
    </row>
    <row r="14" spans="1:14" x14ac:dyDescent="0.25">
      <c r="A14" t="s">
        <v>896</v>
      </c>
      <c r="B14" t="s">
        <v>897</v>
      </c>
      <c r="D14" t="str">
        <f>RIGHT(A14,6)</f>
        <v>CNT301</v>
      </c>
      <c r="E14" t="s">
        <v>927</v>
      </c>
      <c r="F14" t="str">
        <f>LEFT(D14,3)</f>
        <v>CNT</v>
      </c>
      <c r="G14" t="str">
        <f>VLOOKUP(F14,M:N,2,FALSE)</f>
        <v>Ciências da Natureza</v>
      </c>
      <c r="I14" t="str">
        <f>G14</f>
        <v>Ciências da Natureza</v>
      </c>
      <c r="J14" t="str">
        <f>B14</f>
        <v>Analisar fenômenos naturais com base em modelos científicos.</v>
      </c>
      <c r="K14" t="str">
        <f>A14</f>
        <v>EM13CNT301</v>
      </c>
      <c r="M14" t="s">
        <v>923</v>
      </c>
      <c r="N14" t="s">
        <v>926</v>
      </c>
    </row>
    <row r="15" spans="1:14" x14ac:dyDescent="0.25">
      <c r="A15" t="s">
        <v>898</v>
      </c>
      <c r="B15" t="s">
        <v>916</v>
      </c>
      <c r="D15" t="str">
        <f>RIGHT(A15,6)</f>
        <v>CNT302</v>
      </c>
      <c r="E15" t="s">
        <v>927</v>
      </c>
      <c r="F15" t="str">
        <f>LEFT(D15,3)</f>
        <v>CNT</v>
      </c>
      <c r="G15" t="str">
        <f>VLOOKUP(F15,M:N,2,FALSE)</f>
        <v>Ciências da Natureza</v>
      </c>
      <c r="I15" t="str">
        <f>G15</f>
        <v>Ciências da Natureza</v>
      </c>
      <c r="J15" t="str">
        <f>B15</f>
        <v>Compreender transformações químicas,  físicas e biológicas.</v>
      </c>
      <c r="K15" t="str">
        <f>A15</f>
        <v>EM13CNT302</v>
      </c>
      <c r="M15" t="s">
        <v>922</v>
      </c>
      <c r="N15" t="s">
        <v>925</v>
      </c>
    </row>
    <row r="16" spans="1:14" x14ac:dyDescent="0.25">
      <c r="A16" t="s">
        <v>899</v>
      </c>
      <c r="B16" t="s">
        <v>917</v>
      </c>
      <c r="D16" t="str">
        <f>RIGHT(A16,6)</f>
        <v>CNT303</v>
      </c>
      <c r="E16" t="s">
        <v>927</v>
      </c>
      <c r="F16" t="str">
        <f>LEFT(D16,3)</f>
        <v>CNT</v>
      </c>
      <c r="G16" t="str">
        <f>VLOOKUP(F16,M:N,2,FALSE)</f>
        <v>Ciências da Natureza</v>
      </c>
      <c r="I16" t="str">
        <f>G16</f>
        <v>Ciências da Natureza</v>
      </c>
      <c r="J16" t="str">
        <f>B16</f>
        <v>Avaliar relações entre ciência,  tecnologia e sociedade.</v>
      </c>
      <c r="K16" t="str">
        <f>A16</f>
        <v>EM13CNT303</v>
      </c>
    </row>
    <row r="17" spans="1:11" x14ac:dyDescent="0.25">
      <c r="A17" t="s">
        <v>900</v>
      </c>
      <c r="B17" t="s">
        <v>901</v>
      </c>
      <c r="D17" t="str">
        <f>RIGHT(A17,6)</f>
        <v>CNT304</v>
      </c>
      <c r="E17" t="s">
        <v>927</v>
      </c>
      <c r="F17" t="str">
        <f>LEFT(D17,3)</f>
        <v>CNT</v>
      </c>
      <c r="G17" t="str">
        <f>VLOOKUP(F17,M:N,2,FALSE)</f>
        <v>Ciências da Natureza</v>
      </c>
      <c r="I17" t="str">
        <f>G17</f>
        <v>Ciências da Natureza</v>
      </c>
      <c r="J17" t="str">
        <f>B17</f>
        <v>Interpretar fenômenos físicos e suas aplicações.</v>
      </c>
      <c r="K17" t="str">
        <f>A17</f>
        <v>EM13CNT304</v>
      </c>
    </row>
    <row r="18" spans="1:11" x14ac:dyDescent="0.25">
      <c r="A18" t="s">
        <v>902</v>
      </c>
      <c r="B18" t="s">
        <v>903</v>
      </c>
      <c r="D18" t="str">
        <f>RIGHT(A18,6)</f>
        <v>CNT305</v>
      </c>
      <c r="E18" t="s">
        <v>927</v>
      </c>
      <c r="F18" t="str">
        <f>LEFT(D18,3)</f>
        <v>CNT</v>
      </c>
      <c r="G18" t="str">
        <f>VLOOKUP(F18,M:N,2,FALSE)</f>
        <v>Ciências da Natureza</v>
      </c>
      <c r="I18" t="str">
        <f>G18</f>
        <v>Ciências da Natureza</v>
      </c>
      <c r="J18" t="str">
        <f>B18</f>
        <v>Compreender processos biológicos complexos.</v>
      </c>
      <c r="K18" t="str">
        <f>A18</f>
        <v>EM13CNT305</v>
      </c>
    </row>
    <row r="19" spans="1:11" x14ac:dyDescent="0.25">
      <c r="A19" t="s">
        <v>904</v>
      </c>
      <c r="B19" t="s">
        <v>905</v>
      </c>
      <c r="D19" t="str">
        <f>RIGHT(A19,6)</f>
        <v>CNT306</v>
      </c>
      <c r="E19" t="s">
        <v>927</v>
      </c>
      <c r="F19" t="str">
        <f>LEFT(D19,3)</f>
        <v>CNT</v>
      </c>
      <c r="G19" t="str">
        <f>VLOOKUP(F19,M:N,2,FALSE)</f>
        <v>Ciências da Natureza</v>
      </c>
      <c r="I19" t="str">
        <f>G19</f>
        <v>Ciências da Natureza</v>
      </c>
      <c r="J19" t="str">
        <f>B19</f>
        <v>Avaliar impactos ambientais e propor soluções.</v>
      </c>
      <c r="K19" t="str">
        <f>A19</f>
        <v>EM13CNT306</v>
      </c>
    </row>
    <row r="20" spans="1:11" x14ac:dyDescent="0.25">
      <c r="A20" t="s">
        <v>906</v>
      </c>
      <c r="B20" t="s">
        <v>907</v>
      </c>
      <c r="D20" t="str">
        <f>RIGHT(A20,6)</f>
        <v>CHS301</v>
      </c>
      <c r="E20" t="s">
        <v>927</v>
      </c>
      <c r="F20" t="str">
        <f>LEFT(D20,3)</f>
        <v>CHS</v>
      </c>
      <c r="G20" t="str">
        <f>VLOOKUP(F20,M:N,2,FALSE)</f>
        <v>Ciências Humanas e Sociais</v>
      </c>
      <c r="I20" t="str">
        <f>G20</f>
        <v>Ciências Humanas e Sociais</v>
      </c>
      <c r="J20" t="str">
        <f>B20</f>
        <v>Analisar processos históricos contemporâneos.</v>
      </c>
      <c r="K20" t="str">
        <f>A20</f>
        <v>EM13CHS301</v>
      </c>
    </row>
    <row r="21" spans="1:11" x14ac:dyDescent="0.25">
      <c r="A21" t="s">
        <v>908</v>
      </c>
      <c r="B21" t="s">
        <v>909</v>
      </c>
      <c r="D21" t="str">
        <f>RIGHT(A21,6)</f>
        <v>CHS302</v>
      </c>
      <c r="E21" t="s">
        <v>927</v>
      </c>
      <c r="F21" t="str">
        <f>LEFT(D21,3)</f>
        <v>CHS</v>
      </c>
      <c r="G21" t="str">
        <f>VLOOKUP(F21,M:N,2,FALSE)</f>
        <v>Ciências Humanas e Sociais</v>
      </c>
      <c r="I21" t="str">
        <f>G21</f>
        <v>Ciências Humanas e Sociais</v>
      </c>
      <c r="J21" t="str">
        <f>B21</f>
        <v>Compreender dinâmicas geopolíticas.</v>
      </c>
      <c r="K21" t="str">
        <f>A21</f>
        <v>EM13CHS302</v>
      </c>
    </row>
    <row r="22" spans="1:11" x14ac:dyDescent="0.25">
      <c r="A22" t="s">
        <v>910</v>
      </c>
      <c r="B22" t="s">
        <v>911</v>
      </c>
      <c r="D22" t="str">
        <f>RIGHT(A22,6)</f>
        <v>CHS303</v>
      </c>
      <c r="E22" t="s">
        <v>927</v>
      </c>
      <c r="F22" t="str">
        <f>LEFT(D22,3)</f>
        <v>CHS</v>
      </c>
      <c r="G22" t="str">
        <f>VLOOKUP(F22,M:N,2,FALSE)</f>
        <v>Ciências Humanas e Sociais</v>
      </c>
      <c r="I22" t="str">
        <f>G22</f>
        <v>Ciências Humanas e Sociais</v>
      </c>
      <c r="J22" t="str">
        <f>B22</f>
        <v>Avaliar relações de poder e conflitos sociais.</v>
      </c>
      <c r="K22" t="str">
        <f>A22</f>
        <v>EM13CHS303</v>
      </c>
    </row>
    <row r="23" spans="1:11" x14ac:dyDescent="0.25">
      <c r="A23" t="s">
        <v>912</v>
      </c>
      <c r="B23" t="s">
        <v>913</v>
      </c>
    </row>
    <row r="24" spans="1:11" x14ac:dyDescent="0.25">
      <c r="A24" t="s">
        <v>914</v>
      </c>
      <c r="B24" t="s">
        <v>918</v>
      </c>
    </row>
    <row r="25" spans="1:11" x14ac:dyDescent="0.25">
      <c r="A25" t="s">
        <v>915</v>
      </c>
      <c r="B25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A40C-E17F-478F-B57B-46F3DF6DFBBD}">
  <dimension ref="A1:C418"/>
  <sheetViews>
    <sheetView topLeftCell="A382" workbookViewId="0">
      <selection activeCell="A2" sqref="A2:C418"/>
    </sheetView>
  </sheetViews>
  <sheetFormatPr defaultRowHeight="15" x14ac:dyDescent="0.25"/>
  <cols>
    <col min="1" max="1" width="9.7109375" bestFit="1" customWidth="1"/>
    <col min="2" max="2" width="86.85546875" bestFit="1" customWidth="1"/>
    <col min="3" max="3" width="17.5703125" customWidth="1"/>
  </cols>
  <sheetData>
    <row r="1" spans="1:3" x14ac:dyDescent="0.25">
      <c r="A1" t="s">
        <v>549</v>
      </c>
      <c r="B1" t="s">
        <v>548</v>
      </c>
      <c r="C1" t="s">
        <v>547</v>
      </c>
    </row>
    <row r="2" spans="1:3" x14ac:dyDescent="0.25">
      <c r="A2" t="s">
        <v>43</v>
      </c>
      <c r="B2" t="s">
        <v>93</v>
      </c>
      <c r="C2" t="s">
        <v>561</v>
      </c>
    </row>
    <row r="3" spans="1:3" x14ac:dyDescent="0.25">
      <c r="A3" t="s">
        <v>44</v>
      </c>
      <c r="B3" t="s">
        <v>94</v>
      </c>
      <c r="C3" t="s">
        <v>561</v>
      </c>
    </row>
    <row r="4" spans="1:3" x14ac:dyDescent="0.25">
      <c r="A4" t="s">
        <v>45</v>
      </c>
      <c r="B4" t="s">
        <v>95</v>
      </c>
      <c r="C4" t="s">
        <v>561</v>
      </c>
    </row>
    <row r="5" spans="1:3" x14ac:dyDescent="0.25">
      <c r="A5" t="s">
        <v>46</v>
      </c>
      <c r="B5" t="s">
        <v>96</v>
      </c>
      <c r="C5" t="s">
        <v>561</v>
      </c>
    </row>
    <row r="6" spans="1:3" x14ac:dyDescent="0.25">
      <c r="A6" t="s">
        <v>24</v>
      </c>
      <c r="B6" t="s">
        <v>74</v>
      </c>
      <c r="C6" t="s">
        <v>555</v>
      </c>
    </row>
    <row r="7" spans="1:3" x14ac:dyDescent="0.25">
      <c r="A7" t="s">
        <v>25</v>
      </c>
      <c r="B7" t="s">
        <v>75</v>
      </c>
      <c r="C7" t="s">
        <v>555</v>
      </c>
    </row>
    <row r="8" spans="1:3" x14ac:dyDescent="0.25">
      <c r="A8" t="s">
        <v>26</v>
      </c>
      <c r="B8" t="s">
        <v>76</v>
      </c>
      <c r="C8" t="s">
        <v>555</v>
      </c>
    </row>
    <row r="9" spans="1:3" x14ac:dyDescent="0.25">
      <c r="A9" t="s">
        <v>27</v>
      </c>
      <c r="B9" t="s">
        <v>77</v>
      </c>
      <c r="C9" t="s">
        <v>555</v>
      </c>
    </row>
    <row r="10" spans="1:3" x14ac:dyDescent="0.25">
      <c r="A10" t="s">
        <v>28</v>
      </c>
      <c r="B10" t="s">
        <v>78</v>
      </c>
      <c r="C10" t="s">
        <v>555</v>
      </c>
    </row>
    <row r="11" spans="1:3" x14ac:dyDescent="0.25">
      <c r="A11" t="s">
        <v>29</v>
      </c>
      <c r="B11" t="s">
        <v>79</v>
      </c>
      <c r="C11" t="s">
        <v>555</v>
      </c>
    </row>
    <row r="12" spans="1:3" x14ac:dyDescent="0.25">
      <c r="A12" t="s">
        <v>30</v>
      </c>
      <c r="B12" t="s">
        <v>80</v>
      </c>
      <c r="C12" t="s">
        <v>555</v>
      </c>
    </row>
    <row r="13" spans="1:3" x14ac:dyDescent="0.25">
      <c r="A13" t="s">
        <v>31</v>
      </c>
      <c r="B13" t="s">
        <v>81</v>
      </c>
      <c r="C13" t="s">
        <v>555</v>
      </c>
    </row>
    <row r="14" spans="1:3" x14ac:dyDescent="0.25">
      <c r="A14" t="s">
        <v>47</v>
      </c>
      <c r="B14" t="s">
        <v>97</v>
      </c>
      <c r="C14" t="s">
        <v>562</v>
      </c>
    </row>
    <row r="15" spans="1:3" x14ac:dyDescent="0.25">
      <c r="A15" t="s">
        <v>48</v>
      </c>
      <c r="B15" t="s">
        <v>98</v>
      </c>
      <c r="C15" t="s">
        <v>562</v>
      </c>
    </row>
    <row r="16" spans="1:3" x14ac:dyDescent="0.25">
      <c r="A16" t="s">
        <v>49</v>
      </c>
      <c r="B16" t="s">
        <v>99</v>
      </c>
      <c r="C16" t="s">
        <v>562</v>
      </c>
    </row>
    <row r="17" spans="1:3" x14ac:dyDescent="0.25">
      <c r="A17" t="s">
        <v>50</v>
      </c>
      <c r="B17" t="s">
        <v>100</v>
      </c>
      <c r="C17" t="s">
        <v>562</v>
      </c>
    </row>
    <row r="18" spans="1:3" x14ac:dyDescent="0.25">
      <c r="A18" t="s">
        <v>37</v>
      </c>
      <c r="B18" t="s">
        <v>87</v>
      </c>
      <c r="C18" t="s">
        <v>559</v>
      </c>
    </row>
    <row r="19" spans="1:3" x14ac:dyDescent="0.25">
      <c r="A19" t="s">
        <v>38</v>
      </c>
      <c r="B19" t="s">
        <v>88</v>
      </c>
      <c r="C19" t="s">
        <v>559</v>
      </c>
    </row>
    <row r="20" spans="1:3" x14ac:dyDescent="0.25">
      <c r="A20" t="s">
        <v>39</v>
      </c>
      <c r="B20" t="s">
        <v>89</v>
      </c>
      <c r="C20" t="s">
        <v>559</v>
      </c>
    </row>
    <row r="21" spans="1:3" x14ac:dyDescent="0.25">
      <c r="A21" t="s">
        <v>40</v>
      </c>
      <c r="B21" t="s">
        <v>90</v>
      </c>
      <c r="C21" t="s">
        <v>559</v>
      </c>
    </row>
    <row r="22" spans="1:3" x14ac:dyDescent="0.25">
      <c r="A22" t="s">
        <v>41</v>
      </c>
      <c r="B22" t="s">
        <v>91</v>
      </c>
      <c r="C22" t="s">
        <v>559</v>
      </c>
    </row>
    <row r="23" spans="1:3" x14ac:dyDescent="0.25">
      <c r="A23" t="s">
        <v>42</v>
      </c>
      <c r="B23" t="s">
        <v>92</v>
      </c>
      <c r="C23" t="s">
        <v>559</v>
      </c>
    </row>
    <row r="24" spans="1:3" x14ac:dyDescent="0.25">
      <c r="A24" t="s">
        <v>32</v>
      </c>
      <c r="B24" t="s">
        <v>82</v>
      </c>
      <c r="C24" t="s">
        <v>557</v>
      </c>
    </row>
    <row r="25" spans="1:3" x14ac:dyDescent="0.25">
      <c r="A25" t="s">
        <v>33</v>
      </c>
      <c r="B25" t="s">
        <v>83</v>
      </c>
      <c r="C25" t="s">
        <v>557</v>
      </c>
    </row>
    <row r="26" spans="1:3" x14ac:dyDescent="0.25">
      <c r="A26" t="s">
        <v>34</v>
      </c>
      <c r="B26" t="s">
        <v>84</v>
      </c>
      <c r="C26" t="s">
        <v>557</v>
      </c>
    </row>
    <row r="27" spans="1:3" x14ac:dyDescent="0.25">
      <c r="A27" t="s">
        <v>35</v>
      </c>
      <c r="B27" t="s">
        <v>85</v>
      </c>
      <c r="C27" t="s">
        <v>557</v>
      </c>
    </row>
    <row r="28" spans="1:3" x14ac:dyDescent="0.25">
      <c r="A28" t="s">
        <v>36</v>
      </c>
      <c r="B28" t="s">
        <v>86</v>
      </c>
      <c r="C28" t="s">
        <v>557</v>
      </c>
    </row>
    <row r="29" spans="1:3" x14ac:dyDescent="0.25">
      <c r="A29" t="s">
        <v>1</v>
      </c>
      <c r="B29" t="s">
        <v>51</v>
      </c>
      <c r="C29" t="s">
        <v>553</v>
      </c>
    </row>
    <row r="30" spans="1:3" x14ac:dyDescent="0.25">
      <c r="A30" t="s">
        <v>2</v>
      </c>
      <c r="B30" t="s">
        <v>52</v>
      </c>
      <c r="C30" t="s">
        <v>553</v>
      </c>
    </row>
    <row r="31" spans="1:3" x14ac:dyDescent="0.25">
      <c r="A31" t="s">
        <v>3</v>
      </c>
      <c r="B31" t="s">
        <v>53</v>
      </c>
      <c r="C31" t="s">
        <v>553</v>
      </c>
    </row>
    <row r="32" spans="1:3" x14ac:dyDescent="0.25">
      <c r="A32" t="s">
        <v>4</v>
      </c>
      <c r="B32" t="s">
        <v>54</v>
      </c>
      <c r="C32" t="s">
        <v>553</v>
      </c>
    </row>
    <row r="33" spans="1:3" x14ac:dyDescent="0.25">
      <c r="A33" t="s">
        <v>5</v>
      </c>
      <c r="B33" t="s">
        <v>55</v>
      </c>
      <c r="C33" t="s">
        <v>553</v>
      </c>
    </row>
    <row r="34" spans="1:3" x14ac:dyDescent="0.25">
      <c r="A34" t="s">
        <v>6</v>
      </c>
      <c r="B34" t="s">
        <v>56</v>
      </c>
      <c r="C34" t="s">
        <v>553</v>
      </c>
    </row>
    <row r="35" spans="1:3" x14ac:dyDescent="0.25">
      <c r="A35" t="s">
        <v>7</v>
      </c>
      <c r="B35" t="s">
        <v>57</v>
      </c>
      <c r="C35" t="s">
        <v>553</v>
      </c>
    </row>
    <row r="36" spans="1:3" x14ac:dyDescent="0.25">
      <c r="A36" t="s">
        <v>8</v>
      </c>
      <c r="B36" t="s">
        <v>58</v>
      </c>
      <c r="C36" t="s">
        <v>553</v>
      </c>
    </row>
    <row r="37" spans="1:3" x14ac:dyDescent="0.25">
      <c r="A37" t="s">
        <v>9</v>
      </c>
      <c r="B37" t="s">
        <v>59</v>
      </c>
      <c r="C37" t="s">
        <v>553</v>
      </c>
    </row>
    <row r="38" spans="1:3" x14ac:dyDescent="0.25">
      <c r="A38" t="s">
        <v>10</v>
      </c>
      <c r="B38" t="s">
        <v>60</v>
      </c>
      <c r="C38" t="s">
        <v>553</v>
      </c>
    </row>
    <row r="39" spans="1:3" x14ac:dyDescent="0.25">
      <c r="A39" t="s">
        <v>11</v>
      </c>
      <c r="B39" t="s">
        <v>61</v>
      </c>
      <c r="C39" t="s">
        <v>553</v>
      </c>
    </row>
    <row r="40" spans="1:3" x14ac:dyDescent="0.25">
      <c r="A40" t="s">
        <v>12</v>
      </c>
      <c r="B40" t="s">
        <v>62</v>
      </c>
      <c r="C40" t="s">
        <v>553</v>
      </c>
    </row>
    <row r="41" spans="1:3" x14ac:dyDescent="0.25">
      <c r="A41" t="s">
        <v>13</v>
      </c>
      <c r="B41" t="s">
        <v>63</v>
      </c>
      <c r="C41" t="s">
        <v>105</v>
      </c>
    </row>
    <row r="42" spans="1:3" x14ac:dyDescent="0.25">
      <c r="A42" t="s">
        <v>14</v>
      </c>
      <c r="B42" t="s">
        <v>64</v>
      </c>
      <c r="C42" t="s">
        <v>105</v>
      </c>
    </row>
    <row r="43" spans="1:3" x14ac:dyDescent="0.25">
      <c r="A43" t="s">
        <v>15</v>
      </c>
      <c r="B43" t="s">
        <v>65</v>
      </c>
      <c r="C43" t="s">
        <v>105</v>
      </c>
    </row>
    <row r="44" spans="1:3" x14ac:dyDescent="0.25">
      <c r="A44" t="s">
        <v>16</v>
      </c>
      <c r="B44" t="s">
        <v>66</v>
      </c>
      <c r="C44" t="s">
        <v>105</v>
      </c>
    </row>
    <row r="45" spans="1:3" x14ac:dyDescent="0.25">
      <c r="A45" t="s">
        <v>17</v>
      </c>
      <c r="B45" t="s">
        <v>67</v>
      </c>
      <c r="C45" t="s">
        <v>105</v>
      </c>
    </row>
    <row r="46" spans="1:3" x14ac:dyDescent="0.25">
      <c r="A46" t="s">
        <v>18</v>
      </c>
      <c r="B46" t="s">
        <v>68</v>
      </c>
      <c r="C46" t="s">
        <v>105</v>
      </c>
    </row>
    <row r="47" spans="1:3" x14ac:dyDescent="0.25">
      <c r="A47" t="s">
        <v>19</v>
      </c>
      <c r="B47" t="s">
        <v>69</v>
      </c>
      <c r="C47" t="s">
        <v>105</v>
      </c>
    </row>
    <row r="48" spans="1:3" x14ac:dyDescent="0.25">
      <c r="A48" t="s">
        <v>20</v>
      </c>
      <c r="B48" t="s">
        <v>70</v>
      </c>
      <c r="C48" t="s">
        <v>105</v>
      </c>
    </row>
    <row r="49" spans="1:3" x14ac:dyDescent="0.25">
      <c r="A49" t="s">
        <v>21</v>
      </c>
      <c r="B49" t="s">
        <v>71</v>
      </c>
      <c r="C49" t="s">
        <v>105</v>
      </c>
    </row>
    <row r="50" spans="1:3" x14ac:dyDescent="0.25">
      <c r="A50" t="s">
        <v>22</v>
      </c>
      <c r="B50" t="s">
        <v>72</v>
      </c>
      <c r="C50" t="s">
        <v>105</v>
      </c>
    </row>
    <row r="51" spans="1:3" x14ac:dyDescent="0.25">
      <c r="A51" t="s">
        <v>23</v>
      </c>
      <c r="B51" t="s">
        <v>73</v>
      </c>
      <c r="C51" t="s">
        <v>105</v>
      </c>
    </row>
    <row r="52" spans="1:3" x14ac:dyDescent="0.25">
      <c r="A52" t="s">
        <v>146</v>
      </c>
      <c r="B52" t="s">
        <v>185</v>
      </c>
      <c r="C52" t="s">
        <v>561</v>
      </c>
    </row>
    <row r="53" spans="1:3" x14ac:dyDescent="0.25">
      <c r="A53" t="s">
        <v>147</v>
      </c>
      <c r="B53" t="s">
        <v>186</v>
      </c>
      <c r="C53" t="s">
        <v>561</v>
      </c>
    </row>
    <row r="54" spans="1:3" x14ac:dyDescent="0.25">
      <c r="A54" t="s">
        <v>148</v>
      </c>
      <c r="B54" t="s">
        <v>95</v>
      </c>
      <c r="C54" t="s">
        <v>561</v>
      </c>
    </row>
    <row r="55" spans="1:3" x14ac:dyDescent="0.25">
      <c r="A55" t="s">
        <v>149</v>
      </c>
      <c r="B55" t="s">
        <v>96</v>
      </c>
      <c r="C55" t="s">
        <v>561</v>
      </c>
    </row>
    <row r="56" spans="1:3" x14ac:dyDescent="0.25">
      <c r="A56" t="s">
        <v>129</v>
      </c>
      <c r="B56" t="s">
        <v>169</v>
      </c>
      <c r="C56" t="s">
        <v>555</v>
      </c>
    </row>
    <row r="57" spans="1:3" x14ac:dyDescent="0.25">
      <c r="A57" t="s">
        <v>130</v>
      </c>
      <c r="B57" t="s">
        <v>170</v>
      </c>
      <c r="C57" t="s">
        <v>555</v>
      </c>
    </row>
    <row r="58" spans="1:3" x14ac:dyDescent="0.25">
      <c r="A58" t="s">
        <v>131</v>
      </c>
      <c r="B58" t="s">
        <v>171</v>
      </c>
      <c r="C58" t="s">
        <v>555</v>
      </c>
    </row>
    <row r="59" spans="1:3" x14ac:dyDescent="0.25">
      <c r="A59" t="s">
        <v>132</v>
      </c>
      <c r="B59" t="s">
        <v>172</v>
      </c>
      <c r="C59" t="s">
        <v>555</v>
      </c>
    </row>
    <row r="60" spans="1:3" x14ac:dyDescent="0.25">
      <c r="A60" t="s">
        <v>133</v>
      </c>
      <c r="B60" t="s">
        <v>173</v>
      </c>
      <c r="C60" t="s">
        <v>555</v>
      </c>
    </row>
    <row r="61" spans="1:3" x14ac:dyDescent="0.25">
      <c r="A61" t="s">
        <v>134</v>
      </c>
      <c r="B61" t="s">
        <v>174</v>
      </c>
      <c r="C61" t="s">
        <v>555</v>
      </c>
    </row>
    <row r="62" spans="1:3" x14ac:dyDescent="0.25">
      <c r="A62" t="s">
        <v>150</v>
      </c>
      <c r="B62" t="s">
        <v>97</v>
      </c>
      <c r="C62" t="s">
        <v>562</v>
      </c>
    </row>
    <row r="63" spans="1:3" x14ac:dyDescent="0.25">
      <c r="A63" t="s">
        <v>151</v>
      </c>
      <c r="B63" t="s">
        <v>187</v>
      </c>
      <c r="C63" t="s">
        <v>562</v>
      </c>
    </row>
    <row r="64" spans="1:3" x14ac:dyDescent="0.25">
      <c r="A64" t="s">
        <v>152</v>
      </c>
      <c r="B64" t="s">
        <v>188</v>
      </c>
      <c r="C64" t="s">
        <v>562</v>
      </c>
    </row>
    <row r="65" spans="1:3" x14ac:dyDescent="0.25">
      <c r="A65" t="s">
        <v>153</v>
      </c>
      <c r="B65" t="s">
        <v>189</v>
      </c>
      <c r="C65" t="s">
        <v>562</v>
      </c>
    </row>
    <row r="66" spans="1:3" x14ac:dyDescent="0.25">
      <c r="A66" t="s">
        <v>140</v>
      </c>
      <c r="B66" t="s">
        <v>180</v>
      </c>
      <c r="C66" t="s">
        <v>559</v>
      </c>
    </row>
    <row r="67" spans="1:3" x14ac:dyDescent="0.25">
      <c r="A67" t="s">
        <v>141</v>
      </c>
      <c r="B67" t="s">
        <v>181</v>
      </c>
      <c r="C67" t="s">
        <v>559</v>
      </c>
    </row>
    <row r="68" spans="1:3" x14ac:dyDescent="0.25">
      <c r="A68" t="s">
        <v>142</v>
      </c>
      <c r="B68" t="s">
        <v>89</v>
      </c>
      <c r="C68" t="s">
        <v>559</v>
      </c>
    </row>
    <row r="69" spans="1:3" x14ac:dyDescent="0.25">
      <c r="A69" t="s">
        <v>143</v>
      </c>
      <c r="B69" t="s">
        <v>182</v>
      </c>
      <c r="C69" t="s">
        <v>559</v>
      </c>
    </row>
    <row r="70" spans="1:3" x14ac:dyDescent="0.25">
      <c r="A70" t="s">
        <v>144</v>
      </c>
      <c r="B70" t="s">
        <v>183</v>
      </c>
      <c r="C70" t="s">
        <v>559</v>
      </c>
    </row>
    <row r="71" spans="1:3" x14ac:dyDescent="0.25">
      <c r="A71" t="s">
        <v>145</v>
      </c>
      <c r="B71" t="s">
        <v>184</v>
      </c>
      <c r="C71" t="s">
        <v>559</v>
      </c>
    </row>
    <row r="72" spans="1:3" x14ac:dyDescent="0.25">
      <c r="A72" t="s">
        <v>135</v>
      </c>
      <c r="B72" t="s">
        <v>175</v>
      </c>
      <c r="C72" t="s">
        <v>557</v>
      </c>
    </row>
    <row r="73" spans="1:3" x14ac:dyDescent="0.25">
      <c r="A73" t="s">
        <v>136</v>
      </c>
      <c r="B73" t="s">
        <v>176</v>
      </c>
      <c r="C73" t="s">
        <v>557</v>
      </c>
    </row>
    <row r="74" spans="1:3" x14ac:dyDescent="0.25">
      <c r="A74" t="s">
        <v>137</v>
      </c>
      <c r="B74" t="s">
        <v>177</v>
      </c>
      <c r="C74" t="s">
        <v>557</v>
      </c>
    </row>
    <row r="75" spans="1:3" x14ac:dyDescent="0.25">
      <c r="A75" t="s">
        <v>138</v>
      </c>
      <c r="B75" t="s">
        <v>178</v>
      </c>
      <c r="C75" t="s">
        <v>557</v>
      </c>
    </row>
    <row r="76" spans="1:3" x14ac:dyDescent="0.25">
      <c r="A76" t="s">
        <v>139</v>
      </c>
      <c r="B76" t="s">
        <v>179</v>
      </c>
      <c r="C76" t="s">
        <v>557</v>
      </c>
    </row>
    <row r="77" spans="1:3" x14ac:dyDescent="0.25">
      <c r="A77" t="s">
        <v>106</v>
      </c>
      <c r="B77" t="s">
        <v>55</v>
      </c>
      <c r="C77" s="1" t="s">
        <v>553</v>
      </c>
    </row>
    <row r="78" spans="1:3" x14ac:dyDescent="0.25">
      <c r="A78" t="s">
        <v>107</v>
      </c>
      <c r="B78" t="s">
        <v>154</v>
      </c>
      <c r="C78" t="s">
        <v>553</v>
      </c>
    </row>
    <row r="79" spans="1:3" x14ac:dyDescent="0.25">
      <c r="A79" t="s">
        <v>108</v>
      </c>
      <c r="B79" t="s">
        <v>155</v>
      </c>
      <c r="C79" t="s">
        <v>553</v>
      </c>
    </row>
    <row r="80" spans="1:3" x14ac:dyDescent="0.25">
      <c r="A80" t="s">
        <v>109</v>
      </c>
      <c r="B80" t="s">
        <v>54</v>
      </c>
      <c r="C80" t="s">
        <v>553</v>
      </c>
    </row>
    <row r="81" spans="1:3" x14ac:dyDescent="0.25">
      <c r="A81" t="s">
        <v>110</v>
      </c>
      <c r="B81" t="s">
        <v>156</v>
      </c>
      <c r="C81" t="s">
        <v>553</v>
      </c>
    </row>
    <row r="82" spans="1:3" x14ac:dyDescent="0.25">
      <c r="A82" t="s">
        <v>111</v>
      </c>
      <c r="B82" t="s">
        <v>157</v>
      </c>
      <c r="C82" t="s">
        <v>553</v>
      </c>
    </row>
    <row r="83" spans="1:3" x14ac:dyDescent="0.25">
      <c r="A83" t="s">
        <v>112</v>
      </c>
      <c r="B83" t="s">
        <v>158</v>
      </c>
      <c r="C83" t="s">
        <v>553</v>
      </c>
    </row>
    <row r="84" spans="1:3" x14ac:dyDescent="0.25">
      <c r="A84" t="s">
        <v>113</v>
      </c>
      <c r="B84" t="s">
        <v>58</v>
      </c>
      <c r="C84" t="s">
        <v>553</v>
      </c>
    </row>
    <row r="85" spans="1:3" x14ac:dyDescent="0.25">
      <c r="A85" t="s">
        <v>114</v>
      </c>
      <c r="B85" t="s">
        <v>159</v>
      </c>
      <c r="C85" t="s">
        <v>553</v>
      </c>
    </row>
    <row r="86" spans="1:3" x14ac:dyDescent="0.25">
      <c r="A86" t="s">
        <v>115</v>
      </c>
      <c r="B86" t="s">
        <v>160</v>
      </c>
      <c r="C86" t="s">
        <v>553</v>
      </c>
    </row>
    <row r="87" spans="1:3" x14ac:dyDescent="0.25">
      <c r="A87" t="s">
        <v>116</v>
      </c>
      <c r="B87" t="s">
        <v>161</v>
      </c>
      <c r="C87" t="s">
        <v>553</v>
      </c>
    </row>
    <row r="88" spans="1:3" x14ac:dyDescent="0.25">
      <c r="A88" t="s">
        <v>117</v>
      </c>
      <c r="B88" t="s">
        <v>162</v>
      </c>
      <c r="C88" t="s">
        <v>553</v>
      </c>
    </row>
    <row r="89" spans="1:3" x14ac:dyDescent="0.25">
      <c r="A89" t="s">
        <v>118</v>
      </c>
      <c r="B89" t="s">
        <v>163</v>
      </c>
      <c r="C89" t="s">
        <v>105</v>
      </c>
    </row>
    <row r="90" spans="1:3" x14ac:dyDescent="0.25">
      <c r="A90" t="s">
        <v>119</v>
      </c>
      <c r="B90" t="s">
        <v>66</v>
      </c>
      <c r="C90" t="s">
        <v>105</v>
      </c>
    </row>
    <row r="91" spans="1:3" x14ac:dyDescent="0.25">
      <c r="A91" t="s">
        <v>120</v>
      </c>
      <c r="B91" t="s">
        <v>65</v>
      </c>
      <c r="C91" t="s">
        <v>105</v>
      </c>
    </row>
    <row r="92" spans="1:3" x14ac:dyDescent="0.25">
      <c r="A92" t="s">
        <v>121</v>
      </c>
      <c r="B92" t="s">
        <v>67</v>
      </c>
      <c r="C92" t="s">
        <v>105</v>
      </c>
    </row>
    <row r="93" spans="1:3" x14ac:dyDescent="0.25">
      <c r="A93" t="s">
        <v>122</v>
      </c>
      <c r="B93" t="s">
        <v>164</v>
      </c>
      <c r="C93" t="s">
        <v>105</v>
      </c>
    </row>
    <row r="94" spans="1:3" x14ac:dyDescent="0.25">
      <c r="A94" t="s">
        <v>123</v>
      </c>
      <c r="B94" t="s">
        <v>69</v>
      </c>
      <c r="C94" t="s">
        <v>105</v>
      </c>
    </row>
    <row r="95" spans="1:3" x14ac:dyDescent="0.25">
      <c r="A95" t="s">
        <v>124</v>
      </c>
      <c r="B95" t="s">
        <v>165</v>
      </c>
      <c r="C95" t="s">
        <v>105</v>
      </c>
    </row>
    <row r="96" spans="1:3" x14ac:dyDescent="0.25">
      <c r="A96" t="s">
        <v>125</v>
      </c>
      <c r="B96" t="s">
        <v>166</v>
      </c>
      <c r="C96" t="s">
        <v>105</v>
      </c>
    </row>
    <row r="97" spans="1:3" x14ac:dyDescent="0.25">
      <c r="A97" t="s">
        <v>126</v>
      </c>
      <c r="B97" t="s">
        <v>72</v>
      </c>
      <c r="C97" t="s">
        <v>105</v>
      </c>
    </row>
    <row r="98" spans="1:3" x14ac:dyDescent="0.25">
      <c r="A98" t="s">
        <v>127</v>
      </c>
      <c r="B98" t="s">
        <v>167</v>
      </c>
      <c r="C98" t="s">
        <v>105</v>
      </c>
    </row>
    <row r="99" spans="1:3" x14ac:dyDescent="0.25">
      <c r="A99" t="s">
        <v>128</v>
      </c>
      <c r="B99" t="s">
        <v>168</v>
      </c>
      <c r="C99" t="s">
        <v>105</v>
      </c>
    </row>
    <row r="100" spans="1:3" x14ac:dyDescent="0.25">
      <c r="A100" t="s">
        <v>268</v>
      </c>
      <c r="B100" t="s">
        <v>93</v>
      </c>
      <c r="C100" t="s">
        <v>561</v>
      </c>
    </row>
    <row r="101" spans="1:3" x14ac:dyDescent="0.25">
      <c r="A101" t="s">
        <v>269</v>
      </c>
      <c r="B101" t="s">
        <v>221</v>
      </c>
      <c r="C101" t="s">
        <v>561</v>
      </c>
    </row>
    <row r="102" spans="1:3" x14ac:dyDescent="0.25">
      <c r="A102" t="s">
        <v>270</v>
      </c>
      <c r="B102" t="s">
        <v>222</v>
      </c>
      <c r="C102" t="s">
        <v>561</v>
      </c>
    </row>
    <row r="103" spans="1:3" x14ac:dyDescent="0.25">
      <c r="A103" t="s">
        <v>271</v>
      </c>
      <c r="B103" t="s">
        <v>223</v>
      </c>
      <c r="C103" t="s">
        <v>561</v>
      </c>
    </row>
    <row r="104" spans="1:3" x14ac:dyDescent="0.25">
      <c r="A104" t="s">
        <v>251</v>
      </c>
      <c r="B104" t="s">
        <v>79</v>
      </c>
      <c r="C104" t="s">
        <v>555</v>
      </c>
    </row>
    <row r="105" spans="1:3" x14ac:dyDescent="0.25">
      <c r="A105" t="s">
        <v>252</v>
      </c>
      <c r="B105" t="s">
        <v>206</v>
      </c>
      <c r="C105" t="s">
        <v>555</v>
      </c>
    </row>
    <row r="106" spans="1:3" x14ac:dyDescent="0.25">
      <c r="A106" t="s">
        <v>253</v>
      </c>
      <c r="B106" t="s">
        <v>207</v>
      </c>
      <c r="C106" t="s">
        <v>555</v>
      </c>
    </row>
    <row r="107" spans="1:3" x14ac:dyDescent="0.25">
      <c r="A107" t="s">
        <v>254</v>
      </c>
      <c r="B107" t="s">
        <v>208</v>
      </c>
      <c r="C107" t="s">
        <v>555</v>
      </c>
    </row>
    <row r="108" spans="1:3" x14ac:dyDescent="0.25">
      <c r="A108" t="s">
        <v>255</v>
      </c>
      <c r="B108" t="s">
        <v>209</v>
      </c>
      <c r="C108" t="s">
        <v>555</v>
      </c>
    </row>
    <row r="109" spans="1:3" x14ac:dyDescent="0.25">
      <c r="A109" t="s">
        <v>256</v>
      </c>
      <c r="B109" t="s">
        <v>210</v>
      </c>
      <c r="C109" t="s">
        <v>555</v>
      </c>
    </row>
    <row r="110" spans="1:3" x14ac:dyDescent="0.25">
      <c r="A110" t="s">
        <v>257</v>
      </c>
      <c r="B110" t="s">
        <v>211</v>
      </c>
      <c r="C110" t="s">
        <v>555</v>
      </c>
    </row>
    <row r="111" spans="1:3" x14ac:dyDescent="0.25">
      <c r="A111" t="s">
        <v>263</v>
      </c>
      <c r="B111" t="s">
        <v>216</v>
      </c>
      <c r="C111" t="s">
        <v>559</v>
      </c>
    </row>
    <row r="112" spans="1:3" x14ac:dyDescent="0.25">
      <c r="A112" t="s">
        <v>264</v>
      </c>
      <c r="B112" t="s">
        <v>217</v>
      </c>
      <c r="C112" t="s">
        <v>559</v>
      </c>
    </row>
    <row r="113" spans="1:3" x14ac:dyDescent="0.25">
      <c r="A113" t="s">
        <v>265</v>
      </c>
      <c r="B113" t="s">
        <v>218</v>
      </c>
      <c r="C113" t="s">
        <v>559</v>
      </c>
    </row>
    <row r="114" spans="1:3" x14ac:dyDescent="0.25">
      <c r="A114" t="s">
        <v>266</v>
      </c>
      <c r="B114" t="s">
        <v>219</v>
      </c>
      <c r="C114" t="s">
        <v>559</v>
      </c>
    </row>
    <row r="115" spans="1:3" x14ac:dyDescent="0.25">
      <c r="A115" t="s">
        <v>267</v>
      </c>
      <c r="B115" t="s">
        <v>220</v>
      </c>
      <c r="C115" t="s">
        <v>559</v>
      </c>
    </row>
    <row r="116" spans="1:3" x14ac:dyDescent="0.25">
      <c r="A116" t="s">
        <v>258</v>
      </c>
      <c r="B116" t="s">
        <v>84</v>
      </c>
      <c r="C116" t="s">
        <v>557</v>
      </c>
    </row>
    <row r="117" spans="1:3" x14ac:dyDescent="0.25">
      <c r="A117" t="s">
        <v>259</v>
      </c>
      <c r="B117" t="s">
        <v>212</v>
      </c>
      <c r="C117" t="s">
        <v>557</v>
      </c>
    </row>
    <row r="118" spans="1:3" x14ac:dyDescent="0.25">
      <c r="A118" t="s">
        <v>260</v>
      </c>
      <c r="B118" t="s">
        <v>213</v>
      </c>
      <c r="C118" t="s">
        <v>557</v>
      </c>
    </row>
    <row r="119" spans="1:3" x14ac:dyDescent="0.25">
      <c r="A119" t="s">
        <v>261</v>
      </c>
      <c r="B119" t="s">
        <v>214</v>
      </c>
      <c r="C119" t="s">
        <v>557</v>
      </c>
    </row>
    <row r="120" spans="1:3" x14ac:dyDescent="0.25">
      <c r="A120" t="s">
        <v>262</v>
      </c>
      <c r="B120" t="s">
        <v>215</v>
      </c>
      <c r="C120" t="s">
        <v>557</v>
      </c>
    </row>
    <row r="121" spans="1:3" x14ac:dyDescent="0.25">
      <c r="A121" t="s">
        <v>227</v>
      </c>
      <c r="B121" t="s">
        <v>276</v>
      </c>
      <c r="C121" t="s">
        <v>553</v>
      </c>
    </row>
    <row r="122" spans="1:3" x14ac:dyDescent="0.25">
      <c r="A122" t="s">
        <v>228</v>
      </c>
      <c r="B122" t="s">
        <v>277</v>
      </c>
      <c r="C122" t="s">
        <v>553</v>
      </c>
    </row>
    <row r="123" spans="1:3" x14ac:dyDescent="0.25">
      <c r="A123" t="s">
        <v>229</v>
      </c>
      <c r="B123" t="s">
        <v>191</v>
      </c>
      <c r="C123" t="s">
        <v>553</v>
      </c>
    </row>
    <row r="124" spans="1:3" x14ac:dyDescent="0.25">
      <c r="A124" t="s">
        <v>230</v>
      </c>
      <c r="B124" t="s">
        <v>192</v>
      </c>
      <c r="C124" t="s">
        <v>553</v>
      </c>
    </row>
    <row r="125" spans="1:3" x14ac:dyDescent="0.25">
      <c r="A125" t="s">
        <v>231</v>
      </c>
      <c r="B125" t="s">
        <v>193</v>
      </c>
      <c r="C125" t="s">
        <v>553</v>
      </c>
    </row>
    <row r="126" spans="1:3" x14ac:dyDescent="0.25">
      <c r="A126" t="s">
        <v>232</v>
      </c>
      <c r="B126" t="s">
        <v>194</v>
      </c>
      <c r="C126" t="s">
        <v>553</v>
      </c>
    </row>
    <row r="127" spans="1:3" x14ac:dyDescent="0.25">
      <c r="A127" t="s">
        <v>233</v>
      </c>
      <c r="B127" t="s">
        <v>278</v>
      </c>
      <c r="C127" t="s">
        <v>553</v>
      </c>
    </row>
    <row r="128" spans="1:3" x14ac:dyDescent="0.25">
      <c r="A128" t="s">
        <v>234</v>
      </c>
      <c r="B128" t="s">
        <v>195</v>
      </c>
      <c r="C128" t="s">
        <v>553</v>
      </c>
    </row>
    <row r="129" spans="1:3" x14ac:dyDescent="0.25">
      <c r="A129" t="s">
        <v>235</v>
      </c>
      <c r="B129" t="s">
        <v>279</v>
      </c>
      <c r="C129" t="s">
        <v>553</v>
      </c>
    </row>
    <row r="130" spans="1:3" x14ac:dyDescent="0.25">
      <c r="A130" t="s">
        <v>236</v>
      </c>
      <c r="B130" t="s">
        <v>280</v>
      </c>
      <c r="C130" t="s">
        <v>553</v>
      </c>
    </row>
    <row r="131" spans="1:3" x14ac:dyDescent="0.25">
      <c r="A131" t="s">
        <v>237</v>
      </c>
      <c r="B131" t="s">
        <v>196</v>
      </c>
      <c r="C131" t="s">
        <v>553</v>
      </c>
    </row>
    <row r="132" spans="1:3" x14ac:dyDescent="0.25">
      <c r="A132" t="s">
        <v>238</v>
      </c>
      <c r="B132" t="s">
        <v>281</v>
      </c>
      <c r="C132" t="s">
        <v>553</v>
      </c>
    </row>
    <row r="133" spans="1:3" x14ac:dyDescent="0.25">
      <c r="A133" t="s">
        <v>239</v>
      </c>
      <c r="B133" t="s">
        <v>282</v>
      </c>
      <c r="C133" t="s">
        <v>105</v>
      </c>
    </row>
    <row r="134" spans="1:3" x14ac:dyDescent="0.25">
      <c r="A134" t="s">
        <v>240</v>
      </c>
      <c r="B134" t="s">
        <v>66</v>
      </c>
      <c r="C134" t="s">
        <v>105</v>
      </c>
    </row>
    <row r="135" spans="1:3" x14ac:dyDescent="0.25">
      <c r="A135" t="s">
        <v>241</v>
      </c>
      <c r="B135" t="s">
        <v>197</v>
      </c>
      <c r="C135" t="s">
        <v>105</v>
      </c>
    </row>
    <row r="136" spans="1:3" x14ac:dyDescent="0.25">
      <c r="A136" t="s">
        <v>242</v>
      </c>
      <c r="B136" t="s">
        <v>198</v>
      </c>
      <c r="C136" t="s">
        <v>105</v>
      </c>
    </row>
    <row r="137" spans="1:3" x14ac:dyDescent="0.25">
      <c r="A137" t="s">
        <v>243</v>
      </c>
      <c r="B137" t="s">
        <v>199</v>
      </c>
      <c r="C137" t="s">
        <v>105</v>
      </c>
    </row>
    <row r="138" spans="1:3" x14ac:dyDescent="0.25">
      <c r="A138" t="s">
        <v>244</v>
      </c>
      <c r="B138" t="s">
        <v>200</v>
      </c>
      <c r="C138" t="s">
        <v>105</v>
      </c>
    </row>
    <row r="139" spans="1:3" x14ac:dyDescent="0.25">
      <c r="A139" t="s">
        <v>245</v>
      </c>
      <c r="B139" t="s">
        <v>201</v>
      </c>
      <c r="C139" t="s">
        <v>105</v>
      </c>
    </row>
    <row r="140" spans="1:3" x14ac:dyDescent="0.25">
      <c r="A140" t="s">
        <v>246</v>
      </c>
      <c r="B140" t="s">
        <v>202</v>
      </c>
      <c r="C140" t="s">
        <v>105</v>
      </c>
    </row>
    <row r="141" spans="1:3" x14ac:dyDescent="0.25">
      <c r="A141" t="s">
        <v>247</v>
      </c>
      <c r="B141" t="s">
        <v>283</v>
      </c>
      <c r="C141" t="s">
        <v>105</v>
      </c>
    </row>
    <row r="142" spans="1:3" x14ac:dyDescent="0.25">
      <c r="A142" t="s">
        <v>248</v>
      </c>
      <c r="B142" t="s">
        <v>203</v>
      </c>
      <c r="C142" t="s">
        <v>105</v>
      </c>
    </row>
    <row r="143" spans="1:3" x14ac:dyDescent="0.25">
      <c r="A143" t="s">
        <v>249</v>
      </c>
      <c r="B143" t="s">
        <v>204</v>
      </c>
      <c r="C143" t="s">
        <v>105</v>
      </c>
    </row>
    <row r="144" spans="1:3" x14ac:dyDescent="0.25">
      <c r="A144" t="s">
        <v>250</v>
      </c>
      <c r="B144" t="s">
        <v>205</v>
      </c>
      <c r="C144" t="s">
        <v>105</v>
      </c>
    </row>
    <row r="145" spans="1:3" x14ac:dyDescent="0.25">
      <c r="A145" t="s">
        <v>325</v>
      </c>
      <c r="B145" t="s">
        <v>185</v>
      </c>
      <c r="C145" t="s">
        <v>561</v>
      </c>
    </row>
    <row r="146" spans="1:3" x14ac:dyDescent="0.25">
      <c r="A146" t="s">
        <v>326</v>
      </c>
      <c r="B146" t="s">
        <v>221</v>
      </c>
      <c r="C146" t="s">
        <v>561</v>
      </c>
    </row>
    <row r="147" spans="1:3" x14ac:dyDescent="0.25">
      <c r="A147" t="s">
        <v>327</v>
      </c>
      <c r="B147" t="s">
        <v>365</v>
      </c>
      <c r="C147" t="s">
        <v>561</v>
      </c>
    </row>
    <row r="148" spans="1:3" x14ac:dyDescent="0.25">
      <c r="A148" t="s">
        <v>328</v>
      </c>
      <c r="B148" t="s">
        <v>366</v>
      </c>
      <c r="C148" t="s">
        <v>561</v>
      </c>
    </row>
    <row r="149" spans="1:3" x14ac:dyDescent="0.25">
      <c r="A149" t="s">
        <v>308</v>
      </c>
      <c r="B149" t="s">
        <v>351</v>
      </c>
      <c r="C149" t="s">
        <v>555</v>
      </c>
    </row>
    <row r="150" spans="1:3" x14ac:dyDescent="0.25">
      <c r="A150" t="s">
        <v>309</v>
      </c>
      <c r="B150" t="s">
        <v>352</v>
      </c>
      <c r="C150" t="s">
        <v>555</v>
      </c>
    </row>
    <row r="151" spans="1:3" x14ac:dyDescent="0.25">
      <c r="A151" t="s">
        <v>310</v>
      </c>
      <c r="B151" t="s">
        <v>353</v>
      </c>
      <c r="C151" t="s">
        <v>555</v>
      </c>
    </row>
    <row r="152" spans="1:3" x14ac:dyDescent="0.25">
      <c r="A152" t="s">
        <v>311</v>
      </c>
      <c r="B152" t="s">
        <v>354</v>
      </c>
      <c r="C152" t="s">
        <v>555</v>
      </c>
    </row>
    <row r="153" spans="1:3" x14ac:dyDescent="0.25">
      <c r="A153" t="s">
        <v>312</v>
      </c>
      <c r="B153" t="s">
        <v>355</v>
      </c>
      <c r="C153" t="s">
        <v>555</v>
      </c>
    </row>
    <row r="154" spans="1:3" x14ac:dyDescent="0.25">
      <c r="A154" t="s">
        <v>313</v>
      </c>
      <c r="B154" t="s">
        <v>209</v>
      </c>
      <c r="C154" t="s">
        <v>555</v>
      </c>
    </row>
    <row r="155" spans="1:3" x14ac:dyDescent="0.25">
      <c r="A155" t="s">
        <v>314</v>
      </c>
      <c r="B155" t="s">
        <v>356</v>
      </c>
      <c r="C155" t="s">
        <v>555</v>
      </c>
    </row>
    <row r="156" spans="1:3" x14ac:dyDescent="0.25">
      <c r="A156" t="s">
        <v>329</v>
      </c>
      <c r="B156" t="s">
        <v>224</v>
      </c>
      <c r="C156" t="s">
        <v>562</v>
      </c>
    </row>
    <row r="157" spans="1:3" x14ac:dyDescent="0.25">
      <c r="A157" t="s">
        <v>330</v>
      </c>
      <c r="B157" t="s">
        <v>367</v>
      </c>
      <c r="C157" t="s">
        <v>562</v>
      </c>
    </row>
    <row r="158" spans="1:3" x14ac:dyDescent="0.25">
      <c r="A158" t="s">
        <v>331</v>
      </c>
      <c r="B158" t="s">
        <v>368</v>
      </c>
      <c r="C158" t="s">
        <v>562</v>
      </c>
    </row>
    <row r="159" spans="1:3" x14ac:dyDescent="0.25">
      <c r="A159" t="s">
        <v>332</v>
      </c>
      <c r="B159" t="s">
        <v>226</v>
      </c>
      <c r="C159" t="s">
        <v>562</v>
      </c>
    </row>
    <row r="160" spans="1:3" x14ac:dyDescent="0.25">
      <c r="A160" t="s">
        <v>320</v>
      </c>
      <c r="B160" t="s">
        <v>360</v>
      </c>
      <c r="C160" t="s">
        <v>559</v>
      </c>
    </row>
    <row r="161" spans="1:3" x14ac:dyDescent="0.25">
      <c r="A161" t="s">
        <v>321</v>
      </c>
      <c r="B161" t="s">
        <v>361</v>
      </c>
      <c r="C161" t="s">
        <v>559</v>
      </c>
    </row>
    <row r="162" spans="1:3" x14ac:dyDescent="0.25">
      <c r="A162" t="s">
        <v>322</v>
      </c>
      <c r="B162" t="s">
        <v>362</v>
      </c>
      <c r="C162" t="s">
        <v>559</v>
      </c>
    </row>
    <row r="163" spans="1:3" x14ac:dyDescent="0.25">
      <c r="A163" t="s">
        <v>323</v>
      </c>
      <c r="B163" t="s">
        <v>363</v>
      </c>
      <c r="C163" t="s">
        <v>559</v>
      </c>
    </row>
    <row r="164" spans="1:3" x14ac:dyDescent="0.25">
      <c r="A164" t="s">
        <v>324</v>
      </c>
      <c r="B164" t="s">
        <v>364</v>
      </c>
      <c r="C164" t="s">
        <v>559</v>
      </c>
    </row>
    <row r="165" spans="1:3" x14ac:dyDescent="0.25">
      <c r="A165" t="s">
        <v>315</v>
      </c>
      <c r="B165" t="s">
        <v>357</v>
      </c>
      <c r="C165" t="s">
        <v>557</v>
      </c>
    </row>
    <row r="166" spans="1:3" x14ac:dyDescent="0.25">
      <c r="A166" t="s">
        <v>316</v>
      </c>
      <c r="B166" t="s">
        <v>84</v>
      </c>
      <c r="C166" t="s">
        <v>557</v>
      </c>
    </row>
    <row r="167" spans="1:3" x14ac:dyDescent="0.25">
      <c r="A167" t="s">
        <v>317</v>
      </c>
      <c r="B167" t="s">
        <v>358</v>
      </c>
      <c r="C167" t="s">
        <v>557</v>
      </c>
    </row>
    <row r="168" spans="1:3" x14ac:dyDescent="0.25">
      <c r="A168" t="s">
        <v>318</v>
      </c>
      <c r="B168" t="s">
        <v>359</v>
      </c>
      <c r="C168" t="s">
        <v>557</v>
      </c>
    </row>
    <row r="169" spans="1:3" x14ac:dyDescent="0.25">
      <c r="A169" t="s">
        <v>319</v>
      </c>
      <c r="B169" t="s">
        <v>215</v>
      </c>
      <c r="C169" t="s">
        <v>557</v>
      </c>
    </row>
    <row r="170" spans="1:3" x14ac:dyDescent="0.25">
      <c r="A170" t="s">
        <v>284</v>
      </c>
      <c r="B170" t="s">
        <v>333</v>
      </c>
      <c r="C170" t="s">
        <v>553</v>
      </c>
    </row>
    <row r="171" spans="1:3" x14ac:dyDescent="0.25">
      <c r="A171" t="s">
        <v>285</v>
      </c>
      <c r="B171" t="s">
        <v>54</v>
      </c>
      <c r="C171" t="s">
        <v>553</v>
      </c>
    </row>
    <row r="172" spans="1:3" x14ac:dyDescent="0.25">
      <c r="A172" t="s">
        <v>286</v>
      </c>
      <c r="B172" t="s">
        <v>192</v>
      </c>
      <c r="C172" t="s">
        <v>553</v>
      </c>
    </row>
    <row r="173" spans="1:3" x14ac:dyDescent="0.25">
      <c r="A173" t="s">
        <v>287</v>
      </c>
      <c r="B173" t="s">
        <v>193</v>
      </c>
      <c r="C173" t="s">
        <v>553</v>
      </c>
    </row>
    <row r="174" spans="1:3" x14ac:dyDescent="0.25">
      <c r="A174" t="s">
        <v>288</v>
      </c>
      <c r="B174" t="s">
        <v>334</v>
      </c>
      <c r="C174" t="s">
        <v>553</v>
      </c>
    </row>
    <row r="175" spans="1:3" x14ac:dyDescent="0.25">
      <c r="A175" t="s">
        <v>289</v>
      </c>
      <c r="B175" t="s">
        <v>335</v>
      </c>
      <c r="C175" t="s">
        <v>553</v>
      </c>
    </row>
    <row r="176" spans="1:3" x14ac:dyDescent="0.25">
      <c r="A176" t="s">
        <v>290</v>
      </c>
      <c r="B176" t="s">
        <v>336</v>
      </c>
      <c r="C176" t="s">
        <v>553</v>
      </c>
    </row>
    <row r="177" spans="1:3" x14ac:dyDescent="0.25">
      <c r="A177" t="s">
        <v>291</v>
      </c>
      <c r="B177" t="s">
        <v>337</v>
      </c>
      <c r="C177" t="s">
        <v>553</v>
      </c>
    </row>
    <row r="178" spans="1:3" x14ac:dyDescent="0.25">
      <c r="A178" t="s">
        <v>292</v>
      </c>
      <c r="B178" t="s">
        <v>338</v>
      </c>
      <c r="C178" t="s">
        <v>553</v>
      </c>
    </row>
    <row r="179" spans="1:3" x14ac:dyDescent="0.25">
      <c r="A179" t="s">
        <v>293</v>
      </c>
      <c r="B179" t="s">
        <v>339</v>
      </c>
      <c r="C179" t="s">
        <v>553</v>
      </c>
    </row>
    <row r="180" spans="1:3" x14ac:dyDescent="0.25">
      <c r="A180" t="s">
        <v>294</v>
      </c>
      <c r="B180" t="s">
        <v>340</v>
      </c>
      <c r="C180" t="s">
        <v>553</v>
      </c>
    </row>
    <row r="181" spans="1:3" x14ac:dyDescent="0.25">
      <c r="A181" t="s">
        <v>295</v>
      </c>
      <c r="B181" t="s">
        <v>341</v>
      </c>
      <c r="C181" t="s">
        <v>553</v>
      </c>
    </row>
    <row r="182" spans="1:3" x14ac:dyDescent="0.25">
      <c r="A182" t="s">
        <v>296</v>
      </c>
      <c r="B182" t="s">
        <v>342</v>
      </c>
      <c r="C182" t="s">
        <v>105</v>
      </c>
    </row>
    <row r="183" spans="1:3" x14ac:dyDescent="0.25">
      <c r="A183" t="s">
        <v>297</v>
      </c>
      <c r="B183" t="s">
        <v>66</v>
      </c>
      <c r="C183" t="s">
        <v>105</v>
      </c>
    </row>
    <row r="184" spans="1:3" x14ac:dyDescent="0.25">
      <c r="A184" t="s">
        <v>298</v>
      </c>
      <c r="B184" t="s">
        <v>197</v>
      </c>
      <c r="C184" t="s">
        <v>105</v>
      </c>
    </row>
    <row r="185" spans="1:3" x14ac:dyDescent="0.25">
      <c r="A185" t="s">
        <v>299</v>
      </c>
      <c r="B185" t="s">
        <v>198</v>
      </c>
      <c r="C185" t="s">
        <v>105</v>
      </c>
    </row>
    <row r="186" spans="1:3" x14ac:dyDescent="0.25">
      <c r="A186" t="s">
        <v>300</v>
      </c>
      <c r="B186" t="s">
        <v>343</v>
      </c>
      <c r="C186" t="s">
        <v>105</v>
      </c>
    </row>
    <row r="187" spans="1:3" x14ac:dyDescent="0.25">
      <c r="A187" t="s">
        <v>301</v>
      </c>
      <c r="B187" t="s">
        <v>344</v>
      </c>
      <c r="C187" t="s">
        <v>105</v>
      </c>
    </row>
    <row r="188" spans="1:3" x14ac:dyDescent="0.25">
      <c r="A188" t="s">
        <v>302</v>
      </c>
      <c r="B188" t="s">
        <v>345</v>
      </c>
      <c r="C188" t="s">
        <v>105</v>
      </c>
    </row>
    <row r="189" spans="1:3" x14ac:dyDescent="0.25">
      <c r="A189" t="s">
        <v>303</v>
      </c>
      <c r="B189" t="s">
        <v>346</v>
      </c>
      <c r="C189" t="s">
        <v>105</v>
      </c>
    </row>
    <row r="190" spans="1:3" x14ac:dyDescent="0.25">
      <c r="A190" t="s">
        <v>304</v>
      </c>
      <c r="B190" t="s">
        <v>347</v>
      </c>
      <c r="C190" t="s">
        <v>105</v>
      </c>
    </row>
    <row r="191" spans="1:3" x14ac:dyDescent="0.25">
      <c r="A191" t="s">
        <v>305</v>
      </c>
      <c r="B191" t="s">
        <v>348</v>
      </c>
      <c r="C191" t="s">
        <v>105</v>
      </c>
    </row>
    <row r="192" spans="1:3" x14ac:dyDescent="0.25">
      <c r="A192" t="s">
        <v>306</v>
      </c>
      <c r="B192" t="s">
        <v>349</v>
      </c>
      <c r="C192" t="s">
        <v>105</v>
      </c>
    </row>
    <row r="193" spans="1:3" x14ac:dyDescent="0.25">
      <c r="A193" t="s">
        <v>307</v>
      </c>
      <c r="B193" t="s">
        <v>350</v>
      </c>
      <c r="C193" t="s">
        <v>105</v>
      </c>
    </row>
    <row r="194" spans="1:3" x14ac:dyDescent="0.25">
      <c r="A194" t="s">
        <v>410</v>
      </c>
      <c r="B194" t="s">
        <v>185</v>
      </c>
      <c r="C194" t="s">
        <v>561</v>
      </c>
    </row>
    <row r="195" spans="1:3" x14ac:dyDescent="0.25">
      <c r="A195" t="s">
        <v>411</v>
      </c>
      <c r="B195" t="s">
        <v>453</v>
      </c>
      <c r="C195" t="s">
        <v>561</v>
      </c>
    </row>
    <row r="196" spans="1:3" x14ac:dyDescent="0.25">
      <c r="A196" t="s">
        <v>412</v>
      </c>
      <c r="B196" t="s">
        <v>454</v>
      </c>
      <c r="C196" t="s">
        <v>561</v>
      </c>
    </row>
    <row r="197" spans="1:3" x14ac:dyDescent="0.25">
      <c r="A197" t="s">
        <v>413</v>
      </c>
      <c r="B197" t="s">
        <v>455</v>
      </c>
      <c r="C197" t="s">
        <v>561</v>
      </c>
    </row>
    <row r="198" spans="1:3" x14ac:dyDescent="0.25">
      <c r="A198" t="s">
        <v>393</v>
      </c>
      <c r="B198" t="s">
        <v>437</v>
      </c>
      <c r="C198" t="s">
        <v>555</v>
      </c>
    </row>
    <row r="199" spans="1:3" x14ac:dyDescent="0.25">
      <c r="A199" t="s">
        <v>394</v>
      </c>
      <c r="B199" t="s">
        <v>438</v>
      </c>
      <c r="C199" t="s">
        <v>555</v>
      </c>
    </row>
    <row r="200" spans="1:3" x14ac:dyDescent="0.25">
      <c r="A200" t="s">
        <v>395</v>
      </c>
      <c r="B200" t="s">
        <v>439</v>
      </c>
      <c r="C200" t="s">
        <v>555</v>
      </c>
    </row>
    <row r="201" spans="1:3" x14ac:dyDescent="0.25">
      <c r="A201" t="s">
        <v>396</v>
      </c>
      <c r="B201" t="s">
        <v>440</v>
      </c>
      <c r="C201" t="s">
        <v>555</v>
      </c>
    </row>
    <row r="202" spans="1:3" x14ac:dyDescent="0.25">
      <c r="A202" t="s">
        <v>397</v>
      </c>
      <c r="B202" t="s">
        <v>441</v>
      </c>
      <c r="C202" t="s">
        <v>555</v>
      </c>
    </row>
    <row r="203" spans="1:3" x14ac:dyDescent="0.25">
      <c r="A203" t="s">
        <v>398</v>
      </c>
      <c r="B203" t="s">
        <v>442</v>
      </c>
      <c r="C203" t="s">
        <v>555</v>
      </c>
    </row>
    <row r="204" spans="1:3" x14ac:dyDescent="0.25">
      <c r="A204" t="s">
        <v>399</v>
      </c>
      <c r="B204" t="s">
        <v>443</v>
      </c>
      <c r="C204" t="s">
        <v>555</v>
      </c>
    </row>
    <row r="205" spans="1:3" x14ac:dyDescent="0.25">
      <c r="A205" t="s">
        <v>405</v>
      </c>
      <c r="B205" t="s">
        <v>448</v>
      </c>
      <c r="C205" t="s">
        <v>559</v>
      </c>
    </row>
    <row r="206" spans="1:3" x14ac:dyDescent="0.25">
      <c r="A206" t="s">
        <v>406</v>
      </c>
      <c r="B206" t="s">
        <v>449</v>
      </c>
      <c r="C206" t="s">
        <v>559</v>
      </c>
    </row>
    <row r="207" spans="1:3" x14ac:dyDescent="0.25">
      <c r="A207" t="s">
        <v>407</v>
      </c>
      <c r="B207" t="s">
        <v>450</v>
      </c>
      <c r="C207" t="s">
        <v>559</v>
      </c>
    </row>
    <row r="208" spans="1:3" x14ac:dyDescent="0.25">
      <c r="A208" t="s">
        <v>408</v>
      </c>
      <c r="B208" t="s">
        <v>451</v>
      </c>
      <c r="C208" t="s">
        <v>559</v>
      </c>
    </row>
    <row r="209" spans="1:3" x14ac:dyDescent="0.25">
      <c r="A209" t="s">
        <v>409</v>
      </c>
      <c r="B209" t="s">
        <v>452</v>
      </c>
      <c r="C209" t="s">
        <v>559</v>
      </c>
    </row>
    <row r="210" spans="1:3" x14ac:dyDescent="0.25">
      <c r="A210" t="s">
        <v>400</v>
      </c>
      <c r="B210" t="s">
        <v>444</v>
      </c>
      <c r="C210" t="s">
        <v>557</v>
      </c>
    </row>
    <row r="211" spans="1:3" x14ac:dyDescent="0.25">
      <c r="A211" t="s">
        <v>401</v>
      </c>
      <c r="B211" t="s">
        <v>84</v>
      </c>
      <c r="C211" t="s">
        <v>557</v>
      </c>
    </row>
    <row r="212" spans="1:3" x14ac:dyDescent="0.25">
      <c r="A212" t="s">
        <v>402</v>
      </c>
      <c r="B212" t="s">
        <v>445</v>
      </c>
      <c r="C212" t="s">
        <v>557</v>
      </c>
    </row>
    <row r="213" spans="1:3" x14ac:dyDescent="0.25">
      <c r="A213" t="s">
        <v>403</v>
      </c>
      <c r="B213" t="s">
        <v>446</v>
      </c>
      <c r="C213" t="s">
        <v>557</v>
      </c>
    </row>
    <row r="214" spans="1:3" x14ac:dyDescent="0.25">
      <c r="A214" t="s">
        <v>404</v>
      </c>
      <c r="B214" t="s">
        <v>447</v>
      </c>
      <c r="C214" t="s">
        <v>557</v>
      </c>
    </row>
    <row r="215" spans="1:3" x14ac:dyDescent="0.25">
      <c r="A215" t="s">
        <v>369</v>
      </c>
      <c r="B215" t="s">
        <v>418</v>
      </c>
      <c r="C215" t="s">
        <v>553</v>
      </c>
    </row>
    <row r="216" spans="1:3" x14ac:dyDescent="0.25">
      <c r="A216" t="s">
        <v>370</v>
      </c>
      <c r="B216" t="s">
        <v>419</v>
      </c>
      <c r="C216" t="s">
        <v>553</v>
      </c>
    </row>
    <row r="217" spans="1:3" x14ac:dyDescent="0.25">
      <c r="A217" t="s">
        <v>371</v>
      </c>
      <c r="B217" t="s">
        <v>192</v>
      </c>
      <c r="C217" t="s">
        <v>553</v>
      </c>
    </row>
    <row r="218" spans="1:3" x14ac:dyDescent="0.25">
      <c r="A218" t="s">
        <v>372</v>
      </c>
      <c r="B218" t="s">
        <v>420</v>
      </c>
      <c r="C218" t="s">
        <v>553</v>
      </c>
    </row>
    <row r="219" spans="1:3" x14ac:dyDescent="0.25">
      <c r="A219" t="s">
        <v>373</v>
      </c>
      <c r="B219" t="s">
        <v>334</v>
      </c>
      <c r="C219" t="s">
        <v>553</v>
      </c>
    </row>
    <row r="220" spans="1:3" x14ac:dyDescent="0.25">
      <c r="A220" t="s">
        <v>374</v>
      </c>
      <c r="B220" t="s">
        <v>421</v>
      </c>
      <c r="C220" t="s">
        <v>553</v>
      </c>
    </row>
    <row r="221" spans="1:3" x14ac:dyDescent="0.25">
      <c r="A221" t="s">
        <v>375</v>
      </c>
      <c r="B221" t="s">
        <v>422</v>
      </c>
      <c r="C221" t="s">
        <v>553</v>
      </c>
    </row>
    <row r="222" spans="1:3" x14ac:dyDescent="0.25">
      <c r="A222" t="s">
        <v>376</v>
      </c>
      <c r="B222" t="s">
        <v>423</v>
      </c>
      <c r="C222" t="s">
        <v>553</v>
      </c>
    </row>
    <row r="223" spans="1:3" x14ac:dyDescent="0.25">
      <c r="A223" t="s">
        <v>377</v>
      </c>
      <c r="B223" t="s">
        <v>424</v>
      </c>
      <c r="C223" t="s">
        <v>553</v>
      </c>
    </row>
    <row r="224" spans="1:3" x14ac:dyDescent="0.25">
      <c r="A224" t="s">
        <v>378</v>
      </c>
      <c r="B224" t="s">
        <v>425</v>
      </c>
      <c r="C224" t="s">
        <v>553</v>
      </c>
    </row>
    <row r="225" spans="1:3" x14ac:dyDescent="0.25">
      <c r="A225" t="s">
        <v>379</v>
      </c>
      <c r="B225" t="s">
        <v>426</v>
      </c>
      <c r="C225" t="s">
        <v>553</v>
      </c>
    </row>
    <row r="226" spans="1:3" x14ac:dyDescent="0.25">
      <c r="A226" t="s">
        <v>380</v>
      </c>
      <c r="B226" t="s">
        <v>427</v>
      </c>
      <c r="C226" t="s">
        <v>553</v>
      </c>
    </row>
    <row r="227" spans="1:3" x14ac:dyDescent="0.25">
      <c r="A227" t="s">
        <v>381</v>
      </c>
      <c r="B227" t="s">
        <v>428</v>
      </c>
      <c r="C227" t="s">
        <v>105</v>
      </c>
    </row>
    <row r="228" spans="1:3" x14ac:dyDescent="0.25">
      <c r="A228" t="s">
        <v>382</v>
      </c>
      <c r="B228" t="s">
        <v>66</v>
      </c>
      <c r="C228" t="s">
        <v>105</v>
      </c>
    </row>
    <row r="229" spans="1:3" x14ac:dyDescent="0.25">
      <c r="A229" t="s">
        <v>383</v>
      </c>
      <c r="B229" t="s">
        <v>197</v>
      </c>
      <c r="C229" t="s">
        <v>105</v>
      </c>
    </row>
    <row r="230" spans="1:3" x14ac:dyDescent="0.25">
      <c r="A230" t="s">
        <v>384</v>
      </c>
      <c r="B230" t="s">
        <v>429</v>
      </c>
      <c r="C230" t="s">
        <v>105</v>
      </c>
    </row>
    <row r="231" spans="1:3" x14ac:dyDescent="0.25">
      <c r="A231" t="s">
        <v>385</v>
      </c>
      <c r="B231" t="s">
        <v>430</v>
      </c>
      <c r="C231" t="s">
        <v>105</v>
      </c>
    </row>
    <row r="232" spans="1:3" x14ac:dyDescent="0.25">
      <c r="A232" t="s">
        <v>386</v>
      </c>
      <c r="B232" t="s">
        <v>431</v>
      </c>
      <c r="C232" t="s">
        <v>105</v>
      </c>
    </row>
    <row r="233" spans="1:3" x14ac:dyDescent="0.25">
      <c r="A233" t="s">
        <v>387</v>
      </c>
      <c r="B233" t="s">
        <v>432</v>
      </c>
      <c r="C233" t="s">
        <v>105</v>
      </c>
    </row>
    <row r="234" spans="1:3" x14ac:dyDescent="0.25">
      <c r="A234" t="s">
        <v>388</v>
      </c>
      <c r="B234" t="s">
        <v>433</v>
      </c>
      <c r="C234" t="s">
        <v>105</v>
      </c>
    </row>
    <row r="235" spans="1:3" x14ac:dyDescent="0.25">
      <c r="A235" t="s">
        <v>389</v>
      </c>
      <c r="B235" t="s">
        <v>434</v>
      </c>
      <c r="C235" t="s">
        <v>105</v>
      </c>
    </row>
    <row r="236" spans="1:3" x14ac:dyDescent="0.25">
      <c r="A236" t="s">
        <v>390</v>
      </c>
      <c r="B236" t="s">
        <v>435</v>
      </c>
      <c r="C236" t="s">
        <v>105</v>
      </c>
    </row>
    <row r="237" spans="1:3" x14ac:dyDescent="0.25">
      <c r="A237" t="s">
        <v>391</v>
      </c>
      <c r="B237" t="s">
        <v>350</v>
      </c>
      <c r="C237" t="s">
        <v>105</v>
      </c>
    </row>
    <row r="238" spans="1:3" x14ac:dyDescent="0.25">
      <c r="A238" t="s">
        <v>392</v>
      </c>
      <c r="B238" t="s">
        <v>436</v>
      </c>
      <c r="C238" t="s">
        <v>105</v>
      </c>
    </row>
    <row r="239" spans="1:3" x14ac:dyDescent="0.25">
      <c r="A239" t="s">
        <v>501</v>
      </c>
      <c r="B239" t="s">
        <v>185</v>
      </c>
      <c r="C239" t="s">
        <v>561</v>
      </c>
    </row>
    <row r="240" spans="1:3" x14ac:dyDescent="0.25">
      <c r="A240" t="s">
        <v>502</v>
      </c>
      <c r="B240" t="s">
        <v>544</v>
      </c>
      <c r="C240" t="s">
        <v>561</v>
      </c>
    </row>
    <row r="241" spans="1:3" x14ac:dyDescent="0.25">
      <c r="A241" t="s">
        <v>503</v>
      </c>
      <c r="B241" t="s">
        <v>222</v>
      </c>
      <c r="C241" t="s">
        <v>561</v>
      </c>
    </row>
    <row r="242" spans="1:3" x14ac:dyDescent="0.25">
      <c r="A242" t="s">
        <v>483</v>
      </c>
      <c r="B242" t="s">
        <v>529</v>
      </c>
      <c r="C242" t="s">
        <v>555</v>
      </c>
    </row>
    <row r="243" spans="1:3" x14ac:dyDescent="0.25">
      <c r="A243" t="s">
        <v>484</v>
      </c>
      <c r="B243" t="s">
        <v>530</v>
      </c>
      <c r="C243" t="s">
        <v>555</v>
      </c>
    </row>
    <row r="244" spans="1:3" x14ac:dyDescent="0.25">
      <c r="A244" t="s">
        <v>485</v>
      </c>
      <c r="B244" t="s">
        <v>531</v>
      </c>
      <c r="C244" t="s">
        <v>555</v>
      </c>
    </row>
    <row r="245" spans="1:3" x14ac:dyDescent="0.25">
      <c r="A245" t="s">
        <v>486</v>
      </c>
      <c r="B245" t="s">
        <v>532</v>
      </c>
      <c r="C245" t="s">
        <v>555</v>
      </c>
    </row>
    <row r="246" spans="1:3" x14ac:dyDescent="0.25">
      <c r="A246" t="s">
        <v>487</v>
      </c>
      <c r="B246" t="s">
        <v>533</v>
      </c>
      <c r="C246" t="s">
        <v>555</v>
      </c>
    </row>
    <row r="247" spans="1:3" x14ac:dyDescent="0.25">
      <c r="A247" t="s">
        <v>488</v>
      </c>
      <c r="B247" t="s">
        <v>534</v>
      </c>
      <c r="C247" t="s">
        <v>555</v>
      </c>
    </row>
    <row r="248" spans="1:3" x14ac:dyDescent="0.25">
      <c r="A248" t="s">
        <v>489</v>
      </c>
      <c r="B248" t="s">
        <v>535</v>
      </c>
      <c r="C248" t="s">
        <v>555</v>
      </c>
    </row>
    <row r="249" spans="1:3" x14ac:dyDescent="0.25">
      <c r="A249" t="s">
        <v>490</v>
      </c>
      <c r="B249" t="s">
        <v>536</v>
      </c>
      <c r="C249" t="s">
        <v>555</v>
      </c>
    </row>
    <row r="250" spans="1:3" x14ac:dyDescent="0.25">
      <c r="A250" t="s">
        <v>496</v>
      </c>
      <c r="B250" t="s">
        <v>542</v>
      </c>
      <c r="C250" t="s">
        <v>559</v>
      </c>
    </row>
    <row r="251" spans="1:3" x14ac:dyDescent="0.25">
      <c r="A251" t="s">
        <v>497</v>
      </c>
      <c r="B251" t="s">
        <v>91</v>
      </c>
      <c r="C251" t="s">
        <v>559</v>
      </c>
    </row>
    <row r="252" spans="1:3" x14ac:dyDescent="0.25">
      <c r="A252" t="s">
        <v>498</v>
      </c>
      <c r="B252" t="s">
        <v>450</v>
      </c>
      <c r="C252" t="s">
        <v>559</v>
      </c>
    </row>
    <row r="253" spans="1:3" x14ac:dyDescent="0.25">
      <c r="A253" t="s">
        <v>499</v>
      </c>
      <c r="B253" t="s">
        <v>543</v>
      </c>
      <c r="C253" t="s">
        <v>559</v>
      </c>
    </row>
    <row r="254" spans="1:3" x14ac:dyDescent="0.25">
      <c r="A254" t="s">
        <v>500</v>
      </c>
      <c r="B254" t="s">
        <v>363</v>
      </c>
      <c r="C254" t="s">
        <v>559</v>
      </c>
    </row>
    <row r="255" spans="1:3" x14ac:dyDescent="0.25">
      <c r="A255" t="s">
        <v>491</v>
      </c>
      <c r="B255" t="s">
        <v>537</v>
      </c>
      <c r="C255" t="s">
        <v>557</v>
      </c>
    </row>
    <row r="256" spans="1:3" x14ac:dyDescent="0.25">
      <c r="A256" t="s">
        <v>492</v>
      </c>
      <c r="B256" t="s">
        <v>538</v>
      </c>
      <c r="C256" t="s">
        <v>557</v>
      </c>
    </row>
    <row r="257" spans="1:3" x14ac:dyDescent="0.25">
      <c r="A257" t="s">
        <v>493</v>
      </c>
      <c r="B257" t="s">
        <v>539</v>
      </c>
      <c r="C257" t="s">
        <v>557</v>
      </c>
    </row>
    <row r="258" spans="1:3" x14ac:dyDescent="0.25">
      <c r="A258" t="s">
        <v>494</v>
      </c>
      <c r="B258" t="s">
        <v>540</v>
      </c>
      <c r="C258" t="s">
        <v>557</v>
      </c>
    </row>
    <row r="259" spans="1:3" x14ac:dyDescent="0.25">
      <c r="A259" t="s">
        <v>495</v>
      </c>
      <c r="B259" t="s">
        <v>541</v>
      </c>
      <c r="C259" t="s">
        <v>557</v>
      </c>
    </row>
    <row r="260" spans="1:3" x14ac:dyDescent="0.25">
      <c r="A260" t="s">
        <v>459</v>
      </c>
      <c r="B260" t="s">
        <v>509</v>
      </c>
      <c r="C260" t="s">
        <v>553</v>
      </c>
    </row>
    <row r="261" spans="1:3" x14ac:dyDescent="0.25">
      <c r="A261" t="s">
        <v>460</v>
      </c>
      <c r="B261" t="s">
        <v>54</v>
      </c>
      <c r="C261" t="s">
        <v>553</v>
      </c>
    </row>
    <row r="262" spans="1:3" x14ac:dyDescent="0.25">
      <c r="A262" t="s">
        <v>461</v>
      </c>
      <c r="B262" t="s">
        <v>192</v>
      </c>
      <c r="C262" t="s">
        <v>553</v>
      </c>
    </row>
    <row r="263" spans="1:3" x14ac:dyDescent="0.25">
      <c r="A263" t="s">
        <v>462</v>
      </c>
      <c r="B263" t="s">
        <v>510</v>
      </c>
      <c r="C263" t="s">
        <v>553</v>
      </c>
    </row>
    <row r="264" spans="1:3" x14ac:dyDescent="0.25">
      <c r="A264" t="s">
        <v>463</v>
      </c>
      <c r="B264" t="s">
        <v>511</v>
      </c>
      <c r="C264" t="s">
        <v>553</v>
      </c>
    </row>
    <row r="265" spans="1:3" x14ac:dyDescent="0.25">
      <c r="A265" t="s">
        <v>464</v>
      </c>
      <c r="B265" t="s">
        <v>512</v>
      </c>
      <c r="C265" t="s">
        <v>553</v>
      </c>
    </row>
    <row r="266" spans="1:3" x14ac:dyDescent="0.25">
      <c r="A266" t="s">
        <v>465</v>
      </c>
      <c r="B266" t="s">
        <v>421</v>
      </c>
      <c r="C266" t="s">
        <v>553</v>
      </c>
    </row>
    <row r="267" spans="1:3" x14ac:dyDescent="0.25">
      <c r="A267" t="s">
        <v>466</v>
      </c>
      <c r="B267" t="s">
        <v>513</v>
      </c>
      <c r="C267" t="s">
        <v>553</v>
      </c>
    </row>
    <row r="268" spans="1:3" x14ac:dyDescent="0.25">
      <c r="A268" t="s">
        <v>467</v>
      </c>
      <c r="B268" t="s">
        <v>514</v>
      </c>
      <c r="C268" t="s">
        <v>553</v>
      </c>
    </row>
    <row r="269" spans="1:3" x14ac:dyDescent="0.25">
      <c r="A269" t="s">
        <v>468</v>
      </c>
      <c r="B269" t="s">
        <v>515</v>
      </c>
      <c r="C269" t="s">
        <v>553</v>
      </c>
    </row>
    <row r="270" spans="1:3" x14ac:dyDescent="0.25">
      <c r="A270" t="s">
        <v>469</v>
      </c>
      <c r="B270" t="s">
        <v>516</v>
      </c>
      <c r="C270" t="s">
        <v>553</v>
      </c>
    </row>
    <row r="271" spans="1:3" x14ac:dyDescent="0.25">
      <c r="A271" t="s">
        <v>470</v>
      </c>
      <c r="B271" t="s">
        <v>517</v>
      </c>
      <c r="C271" t="s">
        <v>553</v>
      </c>
    </row>
    <row r="272" spans="1:3" x14ac:dyDescent="0.25">
      <c r="A272" t="s">
        <v>471</v>
      </c>
      <c r="B272" t="s">
        <v>518</v>
      </c>
      <c r="C272" t="s">
        <v>105</v>
      </c>
    </row>
    <row r="273" spans="1:3" x14ac:dyDescent="0.25">
      <c r="A273" t="s">
        <v>472</v>
      </c>
      <c r="B273" t="s">
        <v>519</v>
      </c>
      <c r="C273" t="s">
        <v>105</v>
      </c>
    </row>
    <row r="274" spans="1:3" x14ac:dyDescent="0.25">
      <c r="A274" t="s">
        <v>473</v>
      </c>
      <c r="B274" t="s">
        <v>520</v>
      </c>
      <c r="C274" t="s">
        <v>105</v>
      </c>
    </row>
    <row r="275" spans="1:3" x14ac:dyDescent="0.25">
      <c r="A275" t="s">
        <v>474</v>
      </c>
      <c r="B275" t="s">
        <v>521</v>
      </c>
      <c r="C275" t="s">
        <v>105</v>
      </c>
    </row>
    <row r="276" spans="1:3" x14ac:dyDescent="0.25">
      <c r="A276" t="s">
        <v>475</v>
      </c>
      <c r="B276" t="s">
        <v>522</v>
      </c>
      <c r="C276" t="s">
        <v>105</v>
      </c>
    </row>
    <row r="277" spans="1:3" x14ac:dyDescent="0.25">
      <c r="A277" t="s">
        <v>476</v>
      </c>
      <c r="B277" t="s">
        <v>523</v>
      </c>
      <c r="C277" t="s">
        <v>105</v>
      </c>
    </row>
    <row r="278" spans="1:3" x14ac:dyDescent="0.25">
      <c r="A278" t="s">
        <v>477</v>
      </c>
      <c r="B278" t="s">
        <v>524</v>
      </c>
      <c r="C278" t="s">
        <v>105</v>
      </c>
    </row>
    <row r="279" spans="1:3" x14ac:dyDescent="0.25">
      <c r="A279" t="s">
        <v>478</v>
      </c>
      <c r="B279" t="s">
        <v>525</v>
      </c>
      <c r="C279" t="s">
        <v>105</v>
      </c>
    </row>
    <row r="280" spans="1:3" x14ac:dyDescent="0.25">
      <c r="A280" t="s">
        <v>479</v>
      </c>
      <c r="B280" t="s">
        <v>526</v>
      </c>
      <c r="C280" t="s">
        <v>105</v>
      </c>
    </row>
    <row r="281" spans="1:3" x14ac:dyDescent="0.25">
      <c r="A281" t="s">
        <v>480</v>
      </c>
      <c r="B281" t="s">
        <v>350</v>
      </c>
      <c r="C281" t="s">
        <v>105</v>
      </c>
    </row>
    <row r="282" spans="1:3" x14ac:dyDescent="0.25">
      <c r="A282" t="s">
        <v>481</v>
      </c>
      <c r="B282" t="s">
        <v>527</v>
      </c>
      <c r="C282" t="s">
        <v>105</v>
      </c>
    </row>
    <row r="283" spans="1:3" x14ac:dyDescent="0.25">
      <c r="A283" t="s">
        <v>482</v>
      </c>
      <c r="B283" t="s">
        <v>528</v>
      </c>
      <c r="C283" t="s">
        <v>105</v>
      </c>
    </row>
    <row r="284" spans="1:3" x14ac:dyDescent="0.25">
      <c r="A284" t="s">
        <v>604</v>
      </c>
      <c r="B284" t="s">
        <v>185</v>
      </c>
      <c r="C284" t="s">
        <v>561</v>
      </c>
    </row>
    <row r="285" spans="1:3" x14ac:dyDescent="0.25">
      <c r="A285" t="s">
        <v>605</v>
      </c>
      <c r="B285" t="s">
        <v>544</v>
      </c>
      <c r="C285" t="s">
        <v>561</v>
      </c>
    </row>
    <row r="286" spans="1:3" x14ac:dyDescent="0.25">
      <c r="A286" t="s">
        <v>606</v>
      </c>
      <c r="B286" t="s">
        <v>642</v>
      </c>
      <c r="C286" t="s">
        <v>561</v>
      </c>
    </row>
    <row r="287" spans="1:3" x14ac:dyDescent="0.25">
      <c r="A287" t="s">
        <v>607</v>
      </c>
      <c r="B287" t="s">
        <v>545</v>
      </c>
      <c r="C287" t="s">
        <v>561</v>
      </c>
    </row>
    <row r="288" spans="1:3" x14ac:dyDescent="0.25">
      <c r="A288" t="s">
        <v>587</v>
      </c>
      <c r="B288" t="s">
        <v>630</v>
      </c>
      <c r="C288" t="s">
        <v>555</v>
      </c>
    </row>
    <row r="289" spans="1:3" x14ac:dyDescent="0.25">
      <c r="A289" t="s">
        <v>588</v>
      </c>
      <c r="B289" t="s">
        <v>351</v>
      </c>
      <c r="C289" t="s">
        <v>555</v>
      </c>
    </row>
    <row r="290" spans="1:3" x14ac:dyDescent="0.25">
      <c r="A290" t="s">
        <v>589</v>
      </c>
      <c r="B290" t="s">
        <v>631</v>
      </c>
      <c r="C290" t="s">
        <v>555</v>
      </c>
    </row>
    <row r="291" spans="1:3" x14ac:dyDescent="0.25">
      <c r="A291" t="s">
        <v>590</v>
      </c>
      <c r="B291" t="s">
        <v>632</v>
      </c>
      <c r="C291" t="s">
        <v>555</v>
      </c>
    </row>
    <row r="292" spans="1:3" x14ac:dyDescent="0.25">
      <c r="A292" t="s">
        <v>591</v>
      </c>
      <c r="B292" t="s">
        <v>633</v>
      </c>
      <c r="C292" t="s">
        <v>555</v>
      </c>
    </row>
    <row r="293" spans="1:3" x14ac:dyDescent="0.25">
      <c r="A293" t="s">
        <v>592</v>
      </c>
      <c r="B293" t="s">
        <v>634</v>
      </c>
      <c r="C293" t="s">
        <v>555</v>
      </c>
    </row>
    <row r="294" spans="1:3" x14ac:dyDescent="0.25">
      <c r="A294" t="s">
        <v>593</v>
      </c>
      <c r="B294" t="s">
        <v>635</v>
      </c>
      <c r="C294" t="s">
        <v>555</v>
      </c>
    </row>
    <row r="295" spans="1:3" x14ac:dyDescent="0.25">
      <c r="A295" t="s">
        <v>599</v>
      </c>
      <c r="B295" t="s">
        <v>542</v>
      </c>
      <c r="C295" t="s">
        <v>559</v>
      </c>
    </row>
    <row r="296" spans="1:3" x14ac:dyDescent="0.25">
      <c r="A296" t="s">
        <v>600</v>
      </c>
      <c r="B296" t="s">
        <v>640</v>
      </c>
      <c r="C296" t="s">
        <v>559</v>
      </c>
    </row>
    <row r="297" spans="1:3" x14ac:dyDescent="0.25">
      <c r="A297" t="s">
        <v>601</v>
      </c>
      <c r="B297" t="s">
        <v>641</v>
      </c>
      <c r="C297" t="s">
        <v>559</v>
      </c>
    </row>
    <row r="298" spans="1:3" x14ac:dyDescent="0.25">
      <c r="A298" t="s">
        <v>602</v>
      </c>
      <c r="B298" t="s">
        <v>543</v>
      </c>
      <c r="C298" t="s">
        <v>559</v>
      </c>
    </row>
    <row r="299" spans="1:3" x14ac:dyDescent="0.25">
      <c r="A299" t="s">
        <v>603</v>
      </c>
      <c r="B299" t="s">
        <v>363</v>
      </c>
      <c r="C299" t="s">
        <v>559</v>
      </c>
    </row>
    <row r="300" spans="1:3" x14ac:dyDescent="0.25">
      <c r="A300" t="s">
        <v>594</v>
      </c>
      <c r="B300" t="s">
        <v>636</v>
      </c>
      <c r="C300" t="s">
        <v>557</v>
      </c>
    </row>
    <row r="301" spans="1:3" x14ac:dyDescent="0.25">
      <c r="A301" t="s">
        <v>595</v>
      </c>
      <c r="B301" t="s">
        <v>637</v>
      </c>
      <c r="C301" t="s">
        <v>557</v>
      </c>
    </row>
    <row r="302" spans="1:3" x14ac:dyDescent="0.25">
      <c r="A302" t="s">
        <v>596</v>
      </c>
      <c r="B302" t="s">
        <v>638</v>
      </c>
      <c r="C302" t="s">
        <v>557</v>
      </c>
    </row>
    <row r="303" spans="1:3" x14ac:dyDescent="0.25">
      <c r="A303" t="s">
        <v>597</v>
      </c>
      <c r="B303" t="s">
        <v>639</v>
      </c>
      <c r="C303" t="s">
        <v>557</v>
      </c>
    </row>
    <row r="304" spans="1:3" x14ac:dyDescent="0.25">
      <c r="A304" t="s">
        <v>598</v>
      </c>
      <c r="B304" t="s">
        <v>215</v>
      </c>
      <c r="C304" t="s">
        <v>557</v>
      </c>
    </row>
    <row r="305" spans="1:3" x14ac:dyDescent="0.25">
      <c r="A305" t="s">
        <v>563</v>
      </c>
      <c r="B305" t="s">
        <v>612</v>
      </c>
      <c r="C305" t="s">
        <v>553</v>
      </c>
    </row>
    <row r="306" spans="1:3" x14ac:dyDescent="0.25">
      <c r="A306" t="s">
        <v>564</v>
      </c>
      <c r="B306" t="s">
        <v>419</v>
      </c>
      <c r="C306" t="s">
        <v>553</v>
      </c>
    </row>
    <row r="307" spans="1:3" x14ac:dyDescent="0.25">
      <c r="A307" t="s">
        <v>565</v>
      </c>
      <c r="B307" t="s">
        <v>192</v>
      </c>
      <c r="C307" t="s">
        <v>553</v>
      </c>
    </row>
    <row r="308" spans="1:3" x14ac:dyDescent="0.25">
      <c r="A308" t="s">
        <v>566</v>
      </c>
      <c r="B308" t="s">
        <v>613</v>
      </c>
      <c r="C308" t="s">
        <v>553</v>
      </c>
    </row>
    <row r="309" spans="1:3" x14ac:dyDescent="0.25">
      <c r="A309" t="s">
        <v>567</v>
      </c>
      <c r="B309" t="s">
        <v>614</v>
      </c>
      <c r="C309" t="s">
        <v>553</v>
      </c>
    </row>
    <row r="310" spans="1:3" x14ac:dyDescent="0.25">
      <c r="A310" t="s">
        <v>568</v>
      </c>
      <c r="B310" t="s">
        <v>615</v>
      </c>
      <c r="C310" t="s">
        <v>553</v>
      </c>
    </row>
    <row r="311" spans="1:3" x14ac:dyDescent="0.25">
      <c r="A311" t="s">
        <v>569</v>
      </c>
      <c r="B311" t="s">
        <v>616</v>
      </c>
      <c r="C311" t="s">
        <v>553</v>
      </c>
    </row>
    <row r="312" spans="1:3" x14ac:dyDescent="0.25">
      <c r="A312" t="s">
        <v>570</v>
      </c>
      <c r="B312" t="s">
        <v>617</v>
      </c>
      <c r="C312" t="s">
        <v>553</v>
      </c>
    </row>
    <row r="313" spans="1:3" x14ac:dyDescent="0.25">
      <c r="A313" t="s">
        <v>571</v>
      </c>
      <c r="B313" t="s">
        <v>618</v>
      </c>
      <c r="C313" t="s">
        <v>553</v>
      </c>
    </row>
    <row r="314" spans="1:3" x14ac:dyDescent="0.25">
      <c r="A314" t="s">
        <v>572</v>
      </c>
      <c r="B314" t="s">
        <v>619</v>
      </c>
      <c r="C314" t="s">
        <v>553</v>
      </c>
    </row>
    <row r="315" spans="1:3" x14ac:dyDescent="0.25">
      <c r="A315" t="s">
        <v>573</v>
      </c>
      <c r="B315" t="s">
        <v>620</v>
      </c>
      <c r="C315" t="s">
        <v>553</v>
      </c>
    </row>
    <row r="316" spans="1:3" x14ac:dyDescent="0.25">
      <c r="A316" t="s">
        <v>574</v>
      </c>
      <c r="B316" t="s">
        <v>621</v>
      </c>
      <c r="C316" t="s">
        <v>553</v>
      </c>
    </row>
    <row r="317" spans="1:3" x14ac:dyDescent="0.25">
      <c r="A317" t="s">
        <v>575</v>
      </c>
      <c r="B317" t="s">
        <v>622</v>
      </c>
      <c r="C317" t="s">
        <v>105</v>
      </c>
    </row>
    <row r="318" spans="1:3" x14ac:dyDescent="0.25">
      <c r="A318" t="s">
        <v>576</v>
      </c>
      <c r="B318" t="s">
        <v>623</v>
      </c>
      <c r="C318" t="s">
        <v>105</v>
      </c>
    </row>
    <row r="319" spans="1:3" x14ac:dyDescent="0.25">
      <c r="A319" t="s">
        <v>577</v>
      </c>
      <c r="B319" t="s">
        <v>522</v>
      </c>
      <c r="C319" t="s">
        <v>105</v>
      </c>
    </row>
    <row r="320" spans="1:3" x14ac:dyDescent="0.25">
      <c r="A320" t="s">
        <v>578</v>
      </c>
      <c r="B320" t="s">
        <v>624</v>
      </c>
      <c r="C320" t="s">
        <v>105</v>
      </c>
    </row>
    <row r="321" spans="1:3" x14ac:dyDescent="0.25">
      <c r="A321" t="s">
        <v>579</v>
      </c>
      <c r="B321" t="s">
        <v>625</v>
      </c>
      <c r="C321" t="s">
        <v>105</v>
      </c>
    </row>
    <row r="322" spans="1:3" x14ac:dyDescent="0.25">
      <c r="A322" t="s">
        <v>580</v>
      </c>
      <c r="B322" t="s">
        <v>626</v>
      </c>
      <c r="C322" t="s">
        <v>105</v>
      </c>
    </row>
    <row r="323" spans="1:3" x14ac:dyDescent="0.25">
      <c r="A323" t="s">
        <v>581</v>
      </c>
      <c r="B323" t="s">
        <v>627</v>
      </c>
      <c r="C323" t="s">
        <v>105</v>
      </c>
    </row>
    <row r="324" spans="1:3" x14ac:dyDescent="0.25">
      <c r="A324" t="s">
        <v>582</v>
      </c>
      <c r="B324" t="s">
        <v>628</v>
      </c>
      <c r="C324" t="s">
        <v>105</v>
      </c>
    </row>
    <row r="325" spans="1:3" x14ac:dyDescent="0.25">
      <c r="A325" t="s">
        <v>583</v>
      </c>
      <c r="B325" t="s">
        <v>629</v>
      </c>
      <c r="C325" t="s">
        <v>105</v>
      </c>
    </row>
    <row r="326" spans="1:3" x14ac:dyDescent="0.25">
      <c r="A326" t="s">
        <v>584</v>
      </c>
      <c r="B326" t="s">
        <v>526</v>
      </c>
      <c r="C326" t="s">
        <v>105</v>
      </c>
    </row>
    <row r="327" spans="1:3" x14ac:dyDescent="0.25">
      <c r="A327" t="s">
        <v>585</v>
      </c>
      <c r="B327" t="s">
        <v>350</v>
      </c>
      <c r="C327" t="s">
        <v>105</v>
      </c>
    </row>
    <row r="328" spans="1:3" x14ac:dyDescent="0.25">
      <c r="A328" t="s">
        <v>586</v>
      </c>
      <c r="B328" t="s">
        <v>527</v>
      </c>
      <c r="C328" t="s">
        <v>105</v>
      </c>
    </row>
    <row r="329" spans="1:3" x14ac:dyDescent="0.25">
      <c r="A329" t="s">
        <v>685</v>
      </c>
      <c r="B329" t="s">
        <v>185</v>
      </c>
      <c r="C329" t="s">
        <v>561</v>
      </c>
    </row>
    <row r="330" spans="1:3" x14ac:dyDescent="0.25">
      <c r="A330" t="s">
        <v>686</v>
      </c>
      <c r="B330" t="s">
        <v>544</v>
      </c>
      <c r="C330" t="s">
        <v>561</v>
      </c>
    </row>
    <row r="331" spans="1:3" x14ac:dyDescent="0.25">
      <c r="A331" t="s">
        <v>687</v>
      </c>
      <c r="B331" t="s">
        <v>642</v>
      </c>
      <c r="C331" t="s">
        <v>561</v>
      </c>
    </row>
    <row r="332" spans="1:3" x14ac:dyDescent="0.25">
      <c r="A332" t="s">
        <v>688</v>
      </c>
      <c r="B332" t="s">
        <v>545</v>
      </c>
      <c r="C332" t="s">
        <v>561</v>
      </c>
    </row>
    <row r="333" spans="1:3" x14ac:dyDescent="0.25">
      <c r="A333" t="s">
        <v>668</v>
      </c>
      <c r="B333" t="s">
        <v>630</v>
      </c>
      <c r="C333" t="s">
        <v>555</v>
      </c>
    </row>
    <row r="334" spans="1:3" x14ac:dyDescent="0.25">
      <c r="A334" t="s">
        <v>669</v>
      </c>
      <c r="B334" t="s">
        <v>706</v>
      </c>
      <c r="C334" t="s">
        <v>555</v>
      </c>
    </row>
    <row r="335" spans="1:3" x14ac:dyDescent="0.25">
      <c r="A335" t="s">
        <v>670</v>
      </c>
      <c r="B335" t="s">
        <v>707</v>
      </c>
      <c r="C335" t="s">
        <v>555</v>
      </c>
    </row>
    <row r="336" spans="1:3" x14ac:dyDescent="0.25">
      <c r="A336" t="s">
        <v>671</v>
      </c>
      <c r="B336" t="s">
        <v>708</v>
      </c>
      <c r="C336" t="s">
        <v>555</v>
      </c>
    </row>
    <row r="337" spans="1:3" x14ac:dyDescent="0.25">
      <c r="A337" t="s">
        <v>672</v>
      </c>
      <c r="B337" t="s">
        <v>709</v>
      </c>
      <c r="C337" t="s">
        <v>555</v>
      </c>
    </row>
    <row r="338" spans="1:3" x14ac:dyDescent="0.25">
      <c r="A338" t="s">
        <v>673</v>
      </c>
      <c r="B338" t="s">
        <v>710</v>
      </c>
      <c r="C338" t="s">
        <v>555</v>
      </c>
    </row>
    <row r="339" spans="1:3" x14ac:dyDescent="0.25">
      <c r="A339" t="s">
        <v>674</v>
      </c>
      <c r="B339" t="s">
        <v>536</v>
      </c>
      <c r="C339" t="s">
        <v>555</v>
      </c>
    </row>
    <row r="340" spans="1:3" x14ac:dyDescent="0.25">
      <c r="A340" t="s">
        <v>680</v>
      </c>
      <c r="B340" t="s">
        <v>714</v>
      </c>
      <c r="C340" t="s">
        <v>559</v>
      </c>
    </row>
    <row r="341" spans="1:3" x14ac:dyDescent="0.25">
      <c r="A341" t="s">
        <v>681</v>
      </c>
      <c r="B341" t="s">
        <v>715</v>
      </c>
      <c r="C341" t="s">
        <v>559</v>
      </c>
    </row>
    <row r="342" spans="1:3" x14ac:dyDescent="0.25">
      <c r="A342" t="s">
        <v>682</v>
      </c>
      <c r="B342" t="s">
        <v>716</v>
      </c>
      <c r="C342" t="s">
        <v>559</v>
      </c>
    </row>
    <row r="343" spans="1:3" x14ac:dyDescent="0.25">
      <c r="A343" t="s">
        <v>683</v>
      </c>
      <c r="B343" t="s">
        <v>717</v>
      </c>
      <c r="C343" t="s">
        <v>559</v>
      </c>
    </row>
    <row r="344" spans="1:3" x14ac:dyDescent="0.25">
      <c r="A344" t="s">
        <v>684</v>
      </c>
      <c r="B344" t="s">
        <v>363</v>
      </c>
      <c r="C344" t="s">
        <v>559</v>
      </c>
    </row>
    <row r="345" spans="1:3" x14ac:dyDescent="0.25">
      <c r="A345" t="s">
        <v>675</v>
      </c>
      <c r="B345" t="s">
        <v>711</v>
      </c>
      <c r="C345" t="s">
        <v>557</v>
      </c>
    </row>
    <row r="346" spans="1:3" x14ac:dyDescent="0.25">
      <c r="A346" t="s">
        <v>676</v>
      </c>
      <c r="B346" t="s">
        <v>712</v>
      </c>
      <c r="C346" t="s">
        <v>557</v>
      </c>
    </row>
    <row r="347" spans="1:3" x14ac:dyDescent="0.25">
      <c r="A347" t="s">
        <v>677</v>
      </c>
      <c r="B347" t="s">
        <v>713</v>
      </c>
      <c r="C347" t="s">
        <v>557</v>
      </c>
    </row>
    <row r="348" spans="1:3" x14ac:dyDescent="0.25">
      <c r="A348" t="s">
        <v>678</v>
      </c>
      <c r="B348" t="s">
        <v>639</v>
      </c>
      <c r="C348" t="s">
        <v>557</v>
      </c>
    </row>
    <row r="349" spans="1:3" x14ac:dyDescent="0.25">
      <c r="A349" t="s">
        <v>679</v>
      </c>
      <c r="B349" t="s">
        <v>215</v>
      </c>
      <c r="C349" t="s">
        <v>557</v>
      </c>
    </row>
    <row r="350" spans="1:3" x14ac:dyDescent="0.25">
      <c r="A350" t="s">
        <v>644</v>
      </c>
      <c r="B350" t="s">
        <v>693</v>
      </c>
      <c r="C350" t="s">
        <v>553</v>
      </c>
    </row>
    <row r="351" spans="1:3" x14ac:dyDescent="0.25">
      <c r="A351" t="s">
        <v>645</v>
      </c>
      <c r="B351" t="s">
        <v>694</v>
      </c>
      <c r="C351" t="s">
        <v>553</v>
      </c>
    </row>
    <row r="352" spans="1:3" x14ac:dyDescent="0.25">
      <c r="A352" t="s">
        <v>646</v>
      </c>
      <c r="B352" t="s">
        <v>695</v>
      </c>
      <c r="C352" t="s">
        <v>553</v>
      </c>
    </row>
    <row r="353" spans="1:3" x14ac:dyDescent="0.25">
      <c r="A353" t="s">
        <v>647</v>
      </c>
      <c r="B353" t="s">
        <v>613</v>
      </c>
      <c r="C353" t="s">
        <v>553</v>
      </c>
    </row>
    <row r="354" spans="1:3" x14ac:dyDescent="0.25">
      <c r="A354" t="s">
        <v>648</v>
      </c>
      <c r="B354" t="s">
        <v>696</v>
      </c>
      <c r="C354" t="s">
        <v>553</v>
      </c>
    </row>
    <row r="355" spans="1:3" x14ac:dyDescent="0.25">
      <c r="A355" t="s">
        <v>649</v>
      </c>
      <c r="B355" t="s">
        <v>697</v>
      </c>
      <c r="C355" t="s">
        <v>553</v>
      </c>
    </row>
    <row r="356" spans="1:3" x14ac:dyDescent="0.25">
      <c r="A356" t="s">
        <v>650</v>
      </c>
      <c r="B356" t="s">
        <v>698</v>
      </c>
      <c r="C356" t="s">
        <v>553</v>
      </c>
    </row>
    <row r="357" spans="1:3" x14ac:dyDescent="0.25">
      <c r="A357" t="s">
        <v>651</v>
      </c>
      <c r="B357" t="s">
        <v>513</v>
      </c>
      <c r="C357" t="s">
        <v>553</v>
      </c>
    </row>
    <row r="358" spans="1:3" x14ac:dyDescent="0.25">
      <c r="A358" t="s">
        <v>652</v>
      </c>
      <c r="B358" t="s">
        <v>699</v>
      </c>
      <c r="C358" t="s">
        <v>553</v>
      </c>
    </row>
    <row r="359" spans="1:3" x14ac:dyDescent="0.25">
      <c r="A359" t="s">
        <v>653</v>
      </c>
      <c r="B359" t="s">
        <v>700</v>
      </c>
      <c r="C359" t="s">
        <v>553</v>
      </c>
    </row>
    <row r="360" spans="1:3" x14ac:dyDescent="0.25">
      <c r="A360" t="s">
        <v>654</v>
      </c>
      <c r="B360" t="s">
        <v>620</v>
      </c>
      <c r="C360" t="s">
        <v>553</v>
      </c>
    </row>
    <row r="361" spans="1:3" x14ac:dyDescent="0.25">
      <c r="A361" t="s">
        <v>655</v>
      </c>
      <c r="B361" t="s">
        <v>621</v>
      </c>
      <c r="C361" t="s">
        <v>553</v>
      </c>
    </row>
    <row r="362" spans="1:3" x14ac:dyDescent="0.25">
      <c r="A362" t="s">
        <v>656</v>
      </c>
      <c r="B362" t="s">
        <v>701</v>
      </c>
      <c r="C362" t="s">
        <v>105</v>
      </c>
    </row>
    <row r="363" spans="1:3" x14ac:dyDescent="0.25">
      <c r="A363" t="s">
        <v>657</v>
      </c>
      <c r="B363" t="s">
        <v>702</v>
      </c>
      <c r="C363" t="s">
        <v>105</v>
      </c>
    </row>
    <row r="364" spans="1:3" x14ac:dyDescent="0.25">
      <c r="A364" t="s">
        <v>658</v>
      </c>
      <c r="B364" t="s">
        <v>703</v>
      </c>
      <c r="C364" t="s">
        <v>105</v>
      </c>
    </row>
    <row r="365" spans="1:3" x14ac:dyDescent="0.25">
      <c r="A365" t="s">
        <v>659</v>
      </c>
      <c r="B365" t="s">
        <v>625</v>
      </c>
      <c r="C365" t="s">
        <v>105</v>
      </c>
    </row>
    <row r="366" spans="1:3" x14ac:dyDescent="0.25">
      <c r="A366" t="s">
        <v>660</v>
      </c>
      <c r="B366" t="s">
        <v>704</v>
      </c>
      <c r="C366" t="s">
        <v>105</v>
      </c>
    </row>
    <row r="367" spans="1:3" x14ac:dyDescent="0.25">
      <c r="A367" t="s">
        <v>661</v>
      </c>
      <c r="B367" t="s">
        <v>627</v>
      </c>
      <c r="C367" t="s">
        <v>105</v>
      </c>
    </row>
    <row r="368" spans="1:3" x14ac:dyDescent="0.25">
      <c r="A368" t="s">
        <v>662</v>
      </c>
      <c r="B368" t="s">
        <v>705</v>
      </c>
      <c r="C368" t="s">
        <v>105</v>
      </c>
    </row>
    <row r="369" spans="1:3" x14ac:dyDescent="0.25">
      <c r="A369" t="s">
        <v>663</v>
      </c>
      <c r="B369" t="s">
        <v>628</v>
      </c>
      <c r="C369" t="s">
        <v>105</v>
      </c>
    </row>
    <row r="370" spans="1:3" x14ac:dyDescent="0.25">
      <c r="A370" t="s">
        <v>664</v>
      </c>
      <c r="B370" t="s">
        <v>629</v>
      </c>
      <c r="C370" t="s">
        <v>105</v>
      </c>
    </row>
    <row r="371" spans="1:3" x14ac:dyDescent="0.25">
      <c r="A371" t="s">
        <v>665</v>
      </c>
      <c r="B371" t="s">
        <v>526</v>
      </c>
      <c r="C371" t="s">
        <v>105</v>
      </c>
    </row>
    <row r="372" spans="1:3" x14ac:dyDescent="0.25">
      <c r="A372" t="s">
        <v>666</v>
      </c>
      <c r="B372" t="s">
        <v>350</v>
      </c>
      <c r="C372" t="s">
        <v>105</v>
      </c>
    </row>
    <row r="373" spans="1:3" x14ac:dyDescent="0.25">
      <c r="A373" t="s">
        <v>667</v>
      </c>
      <c r="B373" t="s">
        <v>527</v>
      </c>
      <c r="C373" t="s">
        <v>105</v>
      </c>
    </row>
    <row r="374" spans="1:3" x14ac:dyDescent="0.25">
      <c r="A374" t="s">
        <v>773</v>
      </c>
      <c r="B374" t="s">
        <v>185</v>
      </c>
      <c r="C374" t="s">
        <v>561</v>
      </c>
    </row>
    <row r="375" spans="1:3" x14ac:dyDescent="0.25">
      <c r="A375" t="s">
        <v>774</v>
      </c>
      <c r="B375" t="s">
        <v>544</v>
      </c>
      <c r="C375" t="s">
        <v>561</v>
      </c>
    </row>
    <row r="376" spans="1:3" x14ac:dyDescent="0.25">
      <c r="A376" t="s">
        <v>775</v>
      </c>
      <c r="B376" t="s">
        <v>642</v>
      </c>
      <c r="C376" t="s">
        <v>561</v>
      </c>
    </row>
    <row r="377" spans="1:3" x14ac:dyDescent="0.25">
      <c r="A377" t="s">
        <v>776</v>
      </c>
      <c r="B377" t="s">
        <v>545</v>
      </c>
      <c r="C377" t="s">
        <v>561</v>
      </c>
    </row>
    <row r="378" spans="1:3" x14ac:dyDescent="0.25">
      <c r="A378" t="s">
        <v>753</v>
      </c>
      <c r="B378" t="s">
        <v>630</v>
      </c>
      <c r="C378" t="s">
        <v>555</v>
      </c>
    </row>
    <row r="379" spans="1:3" x14ac:dyDescent="0.25">
      <c r="A379" t="s">
        <v>754</v>
      </c>
      <c r="B379" t="s">
        <v>706</v>
      </c>
      <c r="C379" t="s">
        <v>555</v>
      </c>
    </row>
    <row r="380" spans="1:3" x14ac:dyDescent="0.25">
      <c r="A380" t="s">
        <v>755</v>
      </c>
      <c r="B380" t="s">
        <v>707</v>
      </c>
      <c r="C380" t="s">
        <v>555</v>
      </c>
    </row>
    <row r="381" spans="1:3" x14ac:dyDescent="0.25">
      <c r="A381" t="s">
        <v>756</v>
      </c>
      <c r="B381" t="s">
        <v>708</v>
      </c>
      <c r="C381" t="s">
        <v>555</v>
      </c>
    </row>
    <row r="382" spans="1:3" x14ac:dyDescent="0.25">
      <c r="A382" t="s">
        <v>757</v>
      </c>
      <c r="B382" t="s">
        <v>709</v>
      </c>
      <c r="C382" t="s">
        <v>555</v>
      </c>
    </row>
    <row r="383" spans="1:3" x14ac:dyDescent="0.25">
      <c r="A383" t="s">
        <v>758</v>
      </c>
      <c r="B383" t="s">
        <v>710</v>
      </c>
      <c r="C383" t="s">
        <v>555</v>
      </c>
    </row>
    <row r="384" spans="1:3" x14ac:dyDescent="0.25">
      <c r="A384" t="s">
        <v>759</v>
      </c>
      <c r="B384" t="s">
        <v>536</v>
      </c>
      <c r="C384" t="s">
        <v>555</v>
      </c>
    </row>
    <row r="385" spans="1:3" x14ac:dyDescent="0.25">
      <c r="A385" t="s">
        <v>768</v>
      </c>
      <c r="B385" t="s">
        <v>714</v>
      </c>
      <c r="C385" t="s">
        <v>559</v>
      </c>
    </row>
    <row r="386" spans="1:3" x14ac:dyDescent="0.25">
      <c r="A386" t="s">
        <v>769</v>
      </c>
      <c r="B386" t="s">
        <v>715</v>
      </c>
      <c r="C386" t="s">
        <v>559</v>
      </c>
    </row>
    <row r="387" spans="1:3" x14ac:dyDescent="0.25">
      <c r="A387" t="s">
        <v>770</v>
      </c>
      <c r="B387" t="s">
        <v>716</v>
      </c>
      <c r="C387" t="s">
        <v>559</v>
      </c>
    </row>
    <row r="388" spans="1:3" x14ac:dyDescent="0.25">
      <c r="A388" t="s">
        <v>771</v>
      </c>
      <c r="B388" t="s">
        <v>717</v>
      </c>
      <c r="C388" t="s">
        <v>559</v>
      </c>
    </row>
    <row r="389" spans="1:3" x14ac:dyDescent="0.25">
      <c r="A389" t="s">
        <v>772</v>
      </c>
      <c r="B389" t="s">
        <v>363</v>
      </c>
      <c r="C389" t="s">
        <v>559</v>
      </c>
    </row>
    <row r="390" spans="1:3" x14ac:dyDescent="0.25">
      <c r="A390" t="s">
        <v>760</v>
      </c>
      <c r="B390" t="s">
        <v>711</v>
      </c>
      <c r="C390" t="s">
        <v>557</v>
      </c>
    </row>
    <row r="391" spans="1:3" x14ac:dyDescent="0.25">
      <c r="A391" t="s">
        <v>761</v>
      </c>
      <c r="B391" t="s">
        <v>762</v>
      </c>
      <c r="C391" t="s">
        <v>557</v>
      </c>
    </row>
    <row r="392" spans="1:3" x14ac:dyDescent="0.25">
      <c r="A392" t="s">
        <v>763</v>
      </c>
      <c r="B392" t="s">
        <v>764</v>
      </c>
      <c r="C392" t="s">
        <v>557</v>
      </c>
    </row>
    <row r="393" spans="1:3" x14ac:dyDescent="0.25">
      <c r="A393" t="s">
        <v>765</v>
      </c>
      <c r="B393" t="s">
        <v>766</v>
      </c>
      <c r="C393" t="s">
        <v>557</v>
      </c>
    </row>
    <row r="394" spans="1:3" x14ac:dyDescent="0.25">
      <c r="A394" t="s">
        <v>767</v>
      </c>
      <c r="B394" t="s">
        <v>215</v>
      </c>
      <c r="C394" t="s">
        <v>557</v>
      </c>
    </row>
    <row r="395" spans="1:3" x14ac:dyDescent="0.25">
      <c r="A395" t="s">
        <v>718</v>
      </c>
      <c r="B395" t="s">
        <v>781</v>
      </c>
      <c r="C395" t="s">
        <v>553</v>
      </c>
    </row>
    <row r="396" spans="1:3" x14ac:dyDescent="0.25">
      <c r="A396" t="s">
        <v>719</v>
      </c>
      <c r="B396" t="s">
        <v>720</v>
      </c>
      <c r="C396" t="s">
        <v>553</v>
      </c>
    </row>
    <row r="397" spans="1:3" x14ac:dyDescent="0.25">
      <c r="A397" t="s">
        <v>721</v>
      </c>
      <c r="B397" t="s">
        <v>722</v>
      </c>
      <c r="C397" t="s">
        <v>553</v>
      </c>
    </row>
    <row r="398" spans="1:3" x14ac:dyDescent="0.25">
      <c r="A398" t="s">
        <v>723</v>
      </c>
      <c r="B398" t="s">
        <v>613</v>
      </c>
      <c r="C398" t="s">
        <v>553</v>
      </c>
    </row>
    <row r="399" spans="1:3" x14ac:dyDescent="0.25">
      <c r="A399" t="s">
        <v>724</v>
      </c>
      <c r="B399" t="s">
        <v>725</v>
      </c>
      <c r="C399" t="s">
        <v>553</v>
      </c>
    </row>
    <row r="400" spans="1:3" x14ac:dyDescent="0.25">
      <c r="A400" t="s">
        <v>726</v>
      </c>
      <c r="B400" t="s">
        <v>727</v>
      </c>
      <c r="C400" t="s">
        <v>553</v>
      </c>
    </row>
    <row r="401" spans="1:3" x14ac:dyDescent="0.25">
      <c r="A401" t="s">
        <v>728</v>
      </c>
      <c r="B401" t="s">
        <v>729</v>
      </c>
      <c r="C401" t="s">
        <v>553</v>
      </c>
    </row>
    <row r="402" spans="1:3" x14ac:dyDescent="0.25">
      <c r="A402" t="s">
        <v>730</v>
      </c>
      <c r="B402" t="s">
        <v>731</v>
      </c>
      <c r="C402" t="s">
        <v>553</v>
      </c>
    </row>
    <row r="403" spans="1:3" x14ac:dyDescent="0.25">
      <c r="A403" t="s">
        <v>732</v>
      </c>
      <c r="B403" t="s">
        <v>618</v>
      </c>
      <c r="C403" t="s">
        <v>553</v>
      </c>
    </row>
    <row r="404" spans="1:3" x14ac:dyDescent="0.25">
      <c r="A404" t="s">
        <v>733</v>
      </c>
      <c r="B404" t="s">
        <v>700</v>
      </c>
      <c r="C404" t="s">
        <v>553</v>
      </c>
    </row>
    <row r="405" spans="1:3" x14ac:dyDescent="0.25">
      <c r="A405" t="s">
        <v>734</v>
      </c>
      <c r="B405" t="s">
        <v>620</v>
      </c>
      <c r="C405" t="s">
        <v>553</v>
      </c>
    </row>
    <row r="406" spans="1:3" x14ac:dyDescent="0.25">
      <c r="A406" t="s">
        <v>735</v>
      </c>
      <c r="B406" t="s">
        <v>621</v>
      </c>
      <c r="C406" t="s">
        <v>553</v>
      </c>
    </row>
    <row r="407" spans="1:3" x14ac:dyDescent="0.25">
      <c r="A407" t="s">
        <v>736</v>
      </c>
      <c r="B407" t="s">
        <v>737</v>
      </c>
      <c r="C407" t="s">
        <v>105</v>
      </c>
    </row>
    <row r="408" spans="1:3" x14ac:dyDescent="0.25">
      <c r="A408" t="s">
        <v>738</v>
      </c>
      <c r="B408" t="s">
        <v>739</v>
      </c>
      <c r="C408" t="s">
        <v>105</v>
      </c>
    </row>
    <row r="409" spans="1:3" x14ac:dyDescent="0.25">
      <c r="A409" t="s">
        <v>740</v>
      </c>
      <c r="B409" t="s">
        <v>741</v>
      </c>
      <c r="C409" t="s">
        <v>105</v>
      </c>
    </row>
    <row r="410" spans="1:3" x14ac:dyDescent="0.25">
      <c r="A410" t="s">
        <v>742</v>
      </c>
      <c r="B410" t="s">
        <v>704</v>
      </c>
      <c r="C410" t="s">
        <v>105</v>
      </c>
    </row>
    <row r="411" spans="1:3" x14ac:dyDescent="0.25">
      <c r="A411" t="s">
        <v>743</v>
      </c>
      <c r="B411" t="s">
        <v>627</v>
      </c>
      <c r="C411" t="s">
        <v>105</v>
      </c>
    </row>
    <row r="412" spans="1:3" x14ac:dyDescent="0.25">
      <c r="A412" t="s">
        <v>744</v>
      </c>
      <c r="B412" t="s">
        <v>745</v>
      </c>
      <c r="C412" t="s">
        <v>105</v>
      </c>
    </row>
    <row r="413" spans="1:3" x14ac:dyDescent="0.25">
      <c r="A413" t="s">
        <v>746</v>
      </c>
      <c r="B413" t="s">
        <v>747</v>
      </c>
      <c r="C413" t="s">
        <v>105</v>
      </c>
    </row>
    <row r="414" spans="1:3" x14ac:dyDescent="0.25">
      <c r="A414" t="s">
        <v>748</v>
      </c>
      <c r="B414" t="s">
        <v>628</v>
      </c>
      <c r="C414" t="s">
        <v>105</v>
      </c>
    </row>
    <row r="415" spans="1:3" x14ac:dyDescent="0.25">
      <c r="A415" t="s">
        <v>749</v>
      </c>
      <c r="B415" t="s">
        <v>629</v>
      </c>
      <c r="C415" t="s">
        <v>105</v>
      </c>
    </row>
    <row r="416" spans="1:3" x14ac:dyDescent="0.25">
      <c r="A416" t="s">
        <v>750</v>
      </c>
      <c r="B416" t="s">
        <v>526</v>
      </c>
      <c r="C416" t="s">
        <v>105</v>
      </c>
    </row>
    <row r="417" spans="1:3" x14ac:dyDescent="0.25">
      <c r="A417" t="s">
        <v>751</v>
      </c>
      <c r="B417" t="s">
        <v>350</v>
      </c>
      <c r="C417" t="s">
        <v>105</v>
      </c>
    </row>
    <row r="418" spans="1:3" x14ac:dyDescent="0.25">
      <c r="A418" t="s">
        <v>752</v>
      </c>
      <c r="B418" t="s">
        <v>527</v>
      </c>
      <c r="C418" t="s">
        <v>105</v>
      </c>
    </row>
  </sheetData>
  <autoFilter ref="A1:C418" xr:uid="{C532A40C-E17F-478F-B57B-46F3DF6DFBBD}">
    <sortState xmlns:xlrd2="http://schemas.microsoft.com/office/spreadsheetml/2017/richdata2" ref="A2:C418">
      <sortCondition ref="A1:A418"/>
    </sortState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881F-5EF4-4791-8D43-BFE7F820A9DA}">
  <dimension ref="A1:D67"/>
  <sheetViews>
    <sheetView workbookViewId="0">
      <selection sqref="A1:D1048576"/>
    </sheetView>
  </sheetViews>
  <sheetFormatPr defaultRowHeight="15" x14ac:dyDescent="0.25"/>
  <cols>
    <col min="1" max="1" width="12.28515625" bestFit="1" customWidth="1"/>
    <col min="2" max="2" width="64.140625" bestFit="1" customWidth="1"/>
    <col min="3" max="3" width="26.42578125" hidden="1" customWidth="1"/>
  </cols>
  <sheetData>
    <row r="1" spans="1:3" x14ac:dyDescent="0.25">
      <c r="A1" t="s">
        <v>549</v>
      </c>
      <c r="B1" t="s">
        <v>548</v>
      </c>
      <c r="C1" t="s">
        <v>547</v>
      </c>
    </row>
    <row r="2" spans="1:3" x14ac:dyDescent="0.25">
      <c r="A2" t="s">
        <v>816</v>
      </c>
      <c r="B2" t="s">
        <v>817</v>
      </c>
      <c r="C2" t="s">
        <v>926</v>
      </c>
    </row>
    <row r="3" spans="1:3" x14ac:dyDescent="0.25">
      <c r="A3" t="s">
        <v>818</v>
      </c>
      <c r="B3" t="s">
        <v>819</v>
      </c>
      <c r="C3" t="s">
        <v>926</v>
      </c>
    </row>
    <row r="4" spans="1:3" x14ac:dyDescent="0.25">
      <c r="A4" t="s">
        <v>820</v>
      </c>
      <c r="B4" t="s">
        <v>821</v>
      </c>
      <c r="C4" t="s">
        <v>926</v>
      </c>
    </row>
    <row r="5" spans="1:3" x14ac:dyDescent="0.25">
      <c r="A5" t="s">
        <v>822</v>
      </c>
      <c r="B5" t="s">
        <v>639</v>
      </c>
      <c r="C5" t="s">
        <v>926</v>
      </c>
    </row>
    <row r="6" spans="1:3" x14ac:dyDescent="0.25">
      <c r="A6" t="s">
        <v>823</v>
      </c>
      <c r="B6" t="s">
        <v>824</v>
      </c>
      <c r="C6" t="s">
        <v>926</v>
      </c>
    </row>
    <row r="7" spans="1:3" x14ac:dyDescent="0.25">
      <c r="A7" t="s">
        <v>825</v>
      </c>
      <c r="B7" t="s">
        <v>827</v>
      </c>
      <c r="C7" t="s">
        <v>926</v>
      </c>
    </row>
    <row r="8" spans="1:3" x14ac:dyDescent="0.25">
      <c r="A8" t="s">
        <v>861</v>
      </c>
      <c r="B8" t="s">
        <v>817</v>
      </c>
      <c r="C8" t="s">
        <v>926</v>
      </c>
    </row>
    <row r="9" spans="1:3" x14ac:dyDescent="0.25">
      <c r="A9" t="s">
        <v>862</v>
      </c>
      <c r="B9" t="s">
        <v>863</v>
      </c>
      <c r="C9" t="s">
        <v>926</v>
      </c>
    </row>
    <row r="10" spans="1:3" x14ac:dyDescent="0.25">
      <c r="A10" t="s">
        <v>864</v>
      </c>
      <c r="B10" t="s">
        <v>865</v>
      </c>
      <c r="C10" t="s">
        <v>926</v>
      </c>
    </row>
    <row r="11" spans="1:3" x14ac:dyDescent="0.25">
      <c r="A11" t="s">
        <v>906</v>
      </c>
      <c r="B11" t="s">
        <v>907</v>
      </c>
      <c r="C11" t="s">
        <v>926</v>
      </c>
    </row>
    <row r="12" spans="1:3" x14ac:dyDescent="0.25">
      <c r="A12" t="s">
        <v>908</v>
      </c>
      <c r="B12" t="s">
        <v>909</v>
      </c>
      <c r="C12" t="s">
        <v>926</v>
      </c>
    </row>
    <row r="13" spans="1:3" x14ac:dyDescent="0.25">
      <c r="A13" t="s">
        <v>910</v>
      </c>
      <c r="B13" t="s">
        <v>911</v>
      </c>
      <c r="C13" t="s">
        <v>926</v>
      </c>
    </row>
    <row r="14" spans="1:3" x14ac:dyDescent="0.25">
      <c r="A14" t="s">
        <v>806</v>
      </c>
      <c r="B14" t="s">
        <v>807</v>
      </c>
      <c r="C14" t="s">
        <v>925</v>
      </c>
    </row>
    <row r="15" spans="1:3" x14ac:dyDescent="0.25">
      <c r="A15" t="s">
        <v>808</v>
      </c>
      <c r="B15" t="s">
        <v>809</v>
      </c>
      <c r="C15" t="s">
        <v>925</v>
      </c>
    </row>
    <row r="16" spans="1:3" x14ac:dyDescent="0.25">
      <c r="A16" t="s">
        <v>810</v>
      </c>
      <c r="B16" t="s">
        <v>826</v>
      </c>
      <c r="C16" t="s">
        <v>925</v>
      </c>
    </row>
    <row r="17" spans="1:3" x14ac:dyDescent="0.25">
      <c r="A17" t="s">
        <v>811</v>
      </c>
      <c r="B17" t="s">
        <v>812</v>
      </c>
      <c r="C17" t="s">
        <v>925</v>
      </c>
    </row>
    <row r="18" spans="1:3" x14ac:dyDescent="0.25">
      <c r="A18" t="s">
        <v>813</v>
      </c>
      <c r="B18" t="s">
        <v>814</v>
      </c>
      <c r="C18" t="s">
        <v>925</v>
      </c>
    </row>
    <row r="19" spans="1:3" x14ac:dyDescent="0.25">
      <c r="A19" t="s">
        <v>815</v>
      </c>
      <c r="B19" t="s">
        <v>710</v>
      </c>
      <c r="C19" t="s">
        <v>925</v>
      </c>
    </row>
    <row r="20" spans="1:3" x14ac:dyDescent="0.25">
      <c r="A20" t="s">
        <v>851</v>
      </c>
      <c r="B20" t="s">
        <v>852</v>
      </c>
      <c r="C20" t="s">
        <v>925</v>
      </c>
    </row>
    <row r="21" spans="1:3" x14ac:dyDescent="0.25">
      <c r="A21" t="s">
        <v>853</v>
      </c>
      <c r="B21" t="s">
        <v>854</v>
      </c>
      <c r="C21" t="s">
        <v>925</v>
      </c>
    </row>
    <row r="22" spans="1:3" x14ac:dyDescent="0.25">
      <c r="A22" t="s">
        <v>855</v>
      </c>
      <c r="B22" t="s">
        <v>826</v>
      </c>
      <c r="C22" t="s">
        <v>925</v>
      </c>
    </row>
    <row r="23" spans="1:3" x14ac:dyDescent="0.25">
      <c r="A23" t="s">
        <v>856</v>
      </c>
      <c r="B23" t="s">
        <v>857</v>
      </c>
      <c r="C23" t="s">
        <v>925</v>
      </c>
    </row>
    <row r="24" spans="1:3" x14ac:dyDescent="0.25">
      <c r="A24" t="s">
        <v>858</v>
      </c>
      <c r="B24" t="s">
        <v>814</v>
      </c>
      <c r="C24" t="s">
        <v>925</v>
      </c>
    </row>
    <row r="25" spans="1:3" x14ac:dyDescent="0.25">
      <c r="A25" t="s">
        <v>859</v>
      </c>
      <c r="B25" t="s">
        <v>860</v>
      </c>
      <c r="C25" t="s">
        <v>925</v>
      </c>
    </row>
    <row r="26" spans="1:3" x14ac:dyDescent="0.25">
      <c r="A26" t="s">
        <v>896</v>
      </c>
      <c r="B26" t="s">
        <v>897</v>
      </c>
      <c r="C26" t="s">
        <v>925</v>
      </c>
    </row>
    <row r="27" spans="1:3" x14ac:dyDescent="0.25">
      <c r="A27" t="s">
        <v>898</v>
      </c>
      <c r="B27" t="s">
        <v>916</v>
      </c>
      <c r="C27" t="s">
        <v>925</v>
      </c>
    </row>
    <row r="28" spans="1:3" x14ac:dyDescent="0.25">
      <c r="A28" t="s">
        <v>899</v>
      </c>
      <c r="B28" t="s">
        <v>917</v>
      </c>
      <c r="C28" t="s">
        <v>925</v>
      </c>
    </row>
    <row r="29" spans="1:3" x14ac:dyDescent="0.25">
      <c r="A29" t="s">
        <v>900</v>
      </c>
      <c r="B29" t="s">
        <v>901</v>
      </c>
      <c r="C29" t="s">
        <v>925</v>
      </c>
    </row>
    <row r="30" spans="1:3" x14ac:dyDescent="0.25">
      <c r="A30" t="s">
        <v>902</v>
      </c>
      <c r="B30" t="s">
        <v>903</v>
      </c>
      <c r="C30" t="s">
        <v>925</v>
      </c>
    </row>
    <row r="31" spans="1:3" x14ac:dyDescent="0.25">
      <c r="A31" t="s">
        <v>904</v>
      </c>
      <c r="B31" t="s">
        <v>905</v>
      </c>
      <c r="C31" t="s">
        <v>925</v>
      </c>
    </row>
    <row r="32" spans="1:3" x14ac:dyDescent="0.25">
      <c r="A32" t="s">
        <v>782</v>
      </c>
      <c r="B32" t="s">
        <v>783</v>
      </c>
      <c r="C32" t="s">
        <v>924</v>
      </c>
    </row>
    <row r="33" spans="1:3" x14ac:dyDescent="0.25">
      <c r="A33" t="s">
        <v>784</v>
      </c>
      <c r="B33" t="s">
        <v>785</v>
      </c>
      <c r="C33" t="s">
        <v>924</v>
      </c>
    </row>
    <row r="34" spans="1:3" x14ac:dyDescent="0.25">
      <c r="A34" t="s">
        <v>786</v>
      </c>
      <c r="B34" t="s">
        <v>787</v>
      </c>
      <c r="C34" t="s">
        <v>924</v>
      </c>
    </row>
    <row r="35" spans="1:3" x14ac:dyDescent="0.25">
      <c r="A35" t="s">
        <v>788</v>
      </c>
      <c r="B35" t="s">
        <v>789</v>
      </c>
      <c r="C35" t="s">
        <v>924</v>
      </c>
    </row>
    <row r="36" spans="1:3" x14ac:dyDescent="0.25">
      <c r="A36" t="s">
        <v>790</v>
      </c>
      <c r="B36" t="s">
        <v>791</v>
      </c>
      <c r="C36" t="s">
        <v>924</v>
      </c>
    </row>
    <row r="37" spans="1:3" x14ac:dyDescent="0.25">
      <c r="A37" t="s">
        <v>792</v>
      </c>
      <c r="B37" t="s">
        <v>793</v>
      </c>
      <c r="C37" t="s">
        <v>924</v>
      </c>
    </row>
    <row r="38" spans="1:3" x14ac:dyDescent="0.25">
      <c r="A38" t="s">
        <v>828</v>
      </c>
      <c r="B38" t="s">
        <v>829</v>
      </c>
      <c r="C38" t="s">
        <v>924</v>
      </c>
    </row>
    <row r="39" spans="1:3" x14ac:dyDescent="0.25">
      <c r="A39" t="s">
        <v>830</v>
      </c>
      <c r="B39" t="s">
        <v>831</v>
      </c>
      <c r="C39" t="s">
        <v>924</v>
      </c>
    </row>
    <row r="40" spans="1:3" x14ac:dyDescent="0.25">
      <c r="A40" t="s">
        <v>832</v>
      </c>
      <c r="B40" t="s">
        <v>833</v>
      </c>
      <c r="C40" t="s">
        <v>924</v>
      </c>
    </row>
    <row r="41" spans="1:3" x14ac:dyDescent="0.25">
      <c r="A41" t="s">
        <v>834</v>
      </c>
      <c r="B41" t="s">
        <v>835</v>
      </c>
      <c r="C41" t="s">
        <v>924</v>
      </c>
    </row>
    <row r="42" spans="1:3" x14ac:dyDescent="0.25">
      <c r="A42" t="s">
        <v>836</v>
      </c>
      <c r="B42" t="s">
        <v>837</v>
      </c>
      <c r="C42" t="s">
        <v>924</v>
      </c>
    </row>
    <row r="43" spans="1:3" x14ac:dyDescent="0.25">
      <c r="A43" t="s">
        <v>838</v>
      </c>
      <c r="B43" t="s">
        <v>839</v>
      </c>
      <c r="C43" t="s">
        <v>924</v>
      </c>
    </row>
    <row r="44" spans="1:3" x14ac:dyDescent="0.25">
      <c r="A44" t="s">
        <v>872</v>
      </c>
      <c r="B44" t="s">
        <v>873</v>
      </c>
      <c r="C44" t="s">
        <v>924</v>
      </c>
    </row>
    <row r="45" spans="1:3" x14ac:dyDescent="0.25">
      <c r="A45" t="s">
        <v>874</v>
      </c>
      <c r="B45" t="s">
        <v>875</v>
      </c>
      <c r="C45" t="s">
        <v>924</v>
      </c>
    </row>
    <row r="46" spans="1:3" x14ac:dyDescent="0.25">
      <c r="A46" t="s">
        <v>876</v>
      </c>
      <c r="B46" t="s">
        <v>877</v>
      </c>
      <c r="C46" t="s">
        <v>924</v>
      </c>
    </row>
    <row r="47" spans="1:3" x14ac:dyDescent="0.25">
      <c r="A47" t="s">
        <v>878</v>
      </c>
      <c r="B47" t="s">
        <v>879</v>
      </c>
      <c r="C47" t="s">
        <v>924</v>
      </c>
    </row>
    <row r="48" spans="1:3" x14ac:dyDescent="0.25">
      <c r="A48" t="s">
        <v>880</v>
      </c>
      <c r="B48" t="s">
        <v>881</v>
      </c>
      <c r="C48" t="s">
        <v>924</v>
      </c>
    </row>
    <row r="49" spans="1:3" x14ac:dyDescent="0.25">
      <c r="A49" t="s">
        <v>882</v>
      </c>
      <c r="B49" t="s">
        <v>883</v>
      </c>
      <c r="C49" t="s">
        <v>924</v>
      </c>
    </row>
    <row r="50" spans="1:3" x14ac:dyDescent="0.25">
      <c r="A50" t="s">
        <v>794</v>
      </c>
      <c r="B50" t="s">
        <v>795</v>
      </c>
      <c r="C50" t="s">
        <v>105</v>
      </c>
    </row>
    <row r="51" spans="1:3" x14ac:dyDescent="0.25">
      <c r="A51" t="s">
        <v>796</v>
      </c>
      <c r="B51" t="s">
        <v>797</v>
      </c>
      <c r="C51" t="s">
        <v>105</v>
      </c>
    </row>
    <row r="52" spans="1:3" x14ac:dyDescent="0.25">
      <c r="A52" t="s">
        <v>798</v>
      </c>
      <c r="B52" t="s">
        <v>799</v>
      </c>
      <c r="C52" t="s">
        <v>105</v>
      </c>
    </row>
    <row r="53" spans="1:3" x14ac:dyDescent="0.25">
      <c r="A53" t="s">
        <v>800</v>
      </c>
      <c r="B53" t="s">
        <v>801</v>
      </c>
      <c r="C53" t="s">
        <v>105</v>
      </c>
    </row>
    <row r="54" spans="1:3" x14ac:dyDescent="0.25">
      <c r="A54" t="s">
        <v>802</v>
      </c>
      <c r="B54" t="s">
        <v>803</v>
      </c>
      <c r="C54" t="s">
        <v>105</v>
      </c>
    </row>
    <row r="55" spans="1:3" x14ac:dyDescent="0.25">
      <c r="A55" t="s">
        <v>804</v>
      </c>
      <c r="B55" t="s">
        <v>805</v>
      </c>
      <c r="C55" t="s">
        <v>105</v>
      </c>
    </row>
    <row r="56" spans="1:3" x14ac:dyDescent="0.25">
      <c r="A56" t="s">
        <v>840</v>
      </c>
      <c r="B56" t="s">
        <v>841</v>
      </c>
      <c r="C56" t="s">
        <v>105</v>
      </c>
    </row>
    <row r="57" spans="1:3" x14ac:dyDescent="0.25">
      <c r="A57" t="s">
        <v>842</v>
      </c>
      <c r="B57" t="s">
        <v>843</v>
      </c>
      <c r="C57" t="s">
        <v>105</v>
      </c>
    </row>
    <row r="58" spans="1:3" x14ac:dyDescent="0.25">
      <c r="A58" t="s">
        <v>844</v>
      </c>
      <c r="B58" t="s">
        <v>845</v>
      </c>
      <c r="C58" t="s">
        <v>105</v>
      </c>
    </row>
    <row r="59" spans="1:3" x14ac:dyDescent="0.25">
      <c r="A59" t="s">
        <v>846</v>
      </c>
      <c r="B59" t="s">
        <v>847</v>
      </c>
      <c r="C59" t="s">
        <v>105</v>
      </c>
    </row>
    <row r="60" spans="1:3" x14ac:dyDescent="0.25">
      <c r="A60" t="s">
        <v>848</v>
      </c>
      <c r="B60" t="s">
        <v>805</v>
      </c>
      <c r="C60" t="s">
        <v>105</v>
      </c>
    </row>
    <row r="61" spans="1:3" x14ac:dyDescent="0.25">
      <c r="A61" t="s">
        <v>849</v>
      </c>
      <c r="B61" t="s">
        <v>850</v>
      </c>
      <c r="C61" t="s">
        <v>105</v>
      </c>
    </row>
    <row r="62" spans="1:3" x14ac:dyDescent="0.25">
      <c r="A62" t="s">
        <v>884</v>
      </c>
      <c r="B62" t="s">
        <v>885</v>
      </c>
      <c r="C62" t="s">
        <v>105</v>
      </c>
    </row>
    <row r="63" spans="1:3" x14ac:dyDescent="0.25">
      <c r="A63" t="s">
        <v>886</v>
      </c>
      <c r="B63" t="s">
        <v>887</v>
      </c>
      <c r="C63" t="s">
        <v>105</v>
      </c>
    </row>
    <row r="64" spans="1:3" x14ac:dyDescent="0.25">
      <c r="A64" t="s">
        <v>888</v>
      </c>
      <c r="B64" t="s">
        <v>889</v>
      </c>
      <c r="C64" t="s">
        <v>105</v>
      </c>
    </row>
    <row r="65" spans="1:3" x14ac:dyDescent="0.25">
      <c r="A65" t="s">
        <v>890</v>
      </c>
      <c r="B65" t="s">
        <v>891</v>
      </c>
      <c r="C65" t="s">
        <v>105</v>
      </c>
    </row>
    <row r="66" spans="1:3" x14ac:dyDescent="0.25">
      <c r="A66" t="s">
        <v>892</v>
      </c>
      <c r="B66" t="s">
        <v>893</v>
      </c>
      <c r="C66" t="s">
        <v>105</v>
      </c>
    </row>
    <row r="67" spans="1:3" x14ac:dyDescent="0.25">
      <c r="A67" t="s">
        <v>894</v>
      </c>
      <c r="B67" t="s">
        <v>895</v>
      </c>
      <c r="C67" t="s">
        <v>105</v>
      </c>
    </row>
  </sheetData>
  <autoFilter ref="A1:C67" xr:uid="{349C881F-5EF4-4791-8D43-BFE7F820A9DA}">
    <sortState xmlns:xlrd2="http://schemas.microsoft.com/office/spreadsheetml/2017/richdata2" ref="A2:C67">
      <sortCondition ref="A1:A67"/>
    </sortState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CD08-91B8-4C90-97D4-AD2F02E48145}">
  <dimension ref="A1:D484"/>
  <sheetViews>
    <sheetView tabSelected="1" workbookViewId="0">
      <selection activeCell="B7" sqref="B7"/>
    </sheetView>
  </sheetViews>
  <sheetFormatPr defaultRowHeight="15" x14ac:dyDescent="0.25"/>
  <cols>
    <col min="1" max="1" width="12.28515625" bestFit="1" customWidth="1"/>
    <col min="2" max="2" width="86.85546875" bestFit="1" customWidth="1"/>
    <col min="3" max="3" width="26.42578125" customWidth="1"/>
    <col min="4" max="4" width="19.42578125" bestFit="1" customWidth="1"/>
  </cols>
  <sheetData>
    <row r="1" spans="1:4" x14ac:dyDescent="0.25">
      <c r="A1" t="s">
        <v>549</v>
      </c>
      <c r="B1" t="s">
        <v>548</v>
      </c>
      <c r="C1" t="s">
        <v>547</v>
      </c>
      <c r="D1" t="s">
        <v>928</v>
      </c>
    </row>
    <row r="2" spans="1:4" x14ac:dyDescent="0.25">
      <c r="A2" t="s">
        <v>43</v>
      </c>
      <c r="B2" t="s">
        <v>93</v>
      </c>
      <c r="C2" t="s">
        <v>561</v>
      </c>
      <c r="D2" t="s">
        <v>550</v>
      </c>
    </row>
    <row r="3" spans="1:4" x14ac:dyDescent="0.25">
      <c r="A3" t="s">
        <v>44</v>
      </c>
      <c r="B3" t="s">
        <v>94</v>
      </c>
      <c r="C3" t="s">
        <v>561</v>
      </c>
      <c r="D3" t="s">
        <v>550</v>
      </c>
    </row>
    <row r="4" spans="1:4" x14ac:dyDescent="0.25">
      <c r="A4" t="s">
        <v>45</v>
      </c>
      <c r="B4" t="s">
        <v>95</v>
      </c>
      <c r="C4" t="s">
        <v>561</v>
      </c>
      <c r="D4" t="s">
        <v>550</v>
      </c>
    </row>
    <row r="5" spans="1:4" x14ac:dyDescent="0.25">
      <c r="A5" t="s">
        <v>46</v>
      </c>
      <c r="B5" t="s">
        <v>96</v>
      </c>
      <c r="C5" t="s">
        <v>561</v>
      </c>
      <c r="D5" t="s">
        <v>550</v>
      </c>
    </row>
    <row r="6" spans="1:4" x14ac:dyDescent="0.25">
      <c r="A6" t="s">
        <v>24</v>
      </c>
      <c r="B6" t="s">
        <v>74</v>
      </c>
      <c r="C6" t="s">
        <v>555</v>
      </c>
      <c r="D6" t="s">
        <v>550</v>
      </c>
    </row>
    <row r="7" spans="1:4" x14ac:dyDescent="0.25">
      <c r="A7" t="s">
        <v>25</v>
      </c>
      <c r="B7" t="s">
        <v>75</v>
      </c>
      <c r="C7" t="s">
        <v>555</v>
      </c>
      <c r="D7" t="s">
        <v>550</v>
      </c>
    </row>
    <row r="8" spans="1:4" x14ac:dyDescent="0.25">
      <c r="A8" t="s">
        <v>26</v>
      </c>
      <c r="B8" t="s">
        <v>76</v>
      </c>
      <c r="C8" t="s">
        <v>555</v>
      </c>
      <c r="D8" t="s">
        <v>550</v>
      </c>
    </row>
    <row r="9" spans="1:4" x14ac:dyDescent="0.25">
      <c r="A9" t="s">
        <v>27</v>
      </c>
      <c r="B9" t="s">
        <v>77</v>
      </c>
      <c r="C9" t="s">
        <v>555</v>
      </c>
      <c r="D9" t="s">
        <v>550</v>
      </c>
    </row>
    <row r="10" spans="1:4" x14ac:dyDescent="0.25">
      <c r="A10" t="s">
        <v>28</v>
      </c>
      <c r="B10" t="s">
        <v>78</v>
      </c>
      <c r="C10" t="s">
        <v>555</v>
      </c>
      <c r="D10" t="s">
        <v>550</v>
      </c>
    </row>
    <row r="11" spans="1:4" x14ac:dyDescent="0.25">
      <c r="A11" t="s">
        <v>29</v>
      </c>
      <c r="B11" t="s">
        <v>79</v>
      </c>
      <c r="C11" t="s">
        <v>555</v>
      </c>
      <c r="D11" t="s">
        <v>550</v>
      </c>
    </row>
    <row r="12" spans="1:4" x14ac:dyDescent="0.25">
      <c r="A12" t="s">
        <v>30</v>
      </c>
      <c r="B12" t="s">
        <v>80</v>
      </c>
      <c r="C12" t="s">
        <v>555</v>
      </c>
      <c r="D12" t="s">
        <v>550</v>
      </c>
    </row>
    <row r="13" spans="1:4" x14ac:dyDescent="0.25">
      <c r="A13" t="s">
        <v>31</v>
      </c>
      <c r="B13" t="s">
        <v>81</v>
      </c>
      <c r="C13" t="s">
        <v>555</v>
      </c>
      <c r="D13" t="s">
        <v>550</v>
      </c>
    </row>
    <row r="14" spans="1:4" x14ac:dyDescent="0.25">
      <c r="A14" t="s">
        <v>47</v>
      </c>
      <c r="B14" t="s">
        <v>97</v>
      </c>
      <c r="C14" t="s">
        <v>562</v>
      </c>
      <c r="D14" t="s">
        <v>550</v>
      </c>
    </row>
    <row r="15" spans="1:4" x14ac:dyDescent="0.25">
      <c r="A15" t="s">
        <v>48</v>
      </c>
      <c r="B15" t="s">
        <v>98</v>
      </c>
      <c r="C15" t="s">
        <v>562</v>
      </c>
      <c r="D15" t="s">
        <v>550</v>
      </c>
    </row>
    <row r="16" spans="1:4" x14ac:dyDescent="0.25">
      <c r="A16" t="s">
        <v>49</v>
      </c>
      <c r="B16" t="s">
        <v>99</v>
      </c>
      <c r="C16" t="s">
        <v>562</v>
      </c>
      <c r="D16" t="s">
        <v>550</v>
      </c>
    </row>
    <row r="17" spans="1:4" x14ac:dyDescent="0.25">
      <c r="A17" t="s">
        <v>50</v>
      </c>
      <c r="B17" t="s">
        <v>100</v>
      </c>
      <c r="C17" t="s">
        <v>562</v>
      </c>
      <c r="D17" t="s">
        <v>550</v>
      </c>
    </row>
    <row r="18" spans="1:4" x14ac:dyDescent="0.25">
      <c r="A18" t="s">
        <v>37</v>
      </c>
      <c r="B18" t="s">
        <v>87</v>
      </c>
      <c r="C18" t="s">
        <v>559</v>
      </c>
      <c r="D18" t="s">
        <v>550</v>
      </c>
    </row>
    <row r="19" spans="1:4" x14ac:dyDescent="0.25">
      <c r="A19" t="s">
        <v>38</v>
      </c>
      <c r="B19" t="s">
        <v>88</v>
      </c>
      <c r="C19" t="s">
        <v>559</v>
      </c>
      <c r="D19" t="s">
        <v>550</v>
      </c>
    </row>
    <row r="20" spans="1:4" x14ac:dyDescent="0.25">
      <c r="A20" t="s">
        <v>39</v>
      </c>
      <c r="B20" t="s">
        <v>89</v>
      </c>
      <c r="C20" t="s">
        <v>559</v>
      </c>
      <c r="D20" t="s">
        <v>550</v>
      </c>
    </row>
    <row r="21" spans="1:4" x14ac:dyDescent="0.25">
      <c r="A21" t="s">
        <v>40</v>
      </c>
      <c r="B21" t="s">
        <v>90</v>
      </c>
      <c r="C21" t="s">
        <v>559</v>
      </c>
      <c r="D21" t="s">
        <v>550</v>
      </c>
    </row>
    <row r="22" spans="1:4" x14ac:dyDescent="0.25">
      <c r="A22" t="s">
        <v>41</v>
      </c>
      <c r="B22" t="s">
        <v>91</v>
      </c>
      <c r="C22" t="s">
        <v>559</v>
      </c>
      <c r="D22" t="s">
        <v>550</v>
      </c>
    </row>
    <row r="23" spans="1:4" x14ac:dyDescent="0.25">
      <c r="A23" t="s">
        <v>42</v>
      </c>
      <c r="B23" t="s">
        <v>92</v>
      </c>
      <c r="C23" t="s">
        <v>559</v>
      </c>
      <c r="D23" t="s">
        <v>550</v>
      </c>
    </row>
    <row r="24" spans="1:4" x14ac:dyDescent="0.25">
      <c r="A24" t="s">
        <v>32</v>
      </c>
      <c r="B24" t="s">
        <v>82</v>
      </c>
      <c r="C24" t="s">
        <v>557</v>
      </c>
      <c r="D24" t="s">
        <v>550</v>
      </c>
    </row>
    <row r="25" spans="1:4" x14ac:dyDescent="0.25">
      <c r="A25" t="s">
        <v>33</v>
      </c>
      <c r="B25" t="s">
        <v>83</v>
      </c>
      <c r="C25" t="s">
        <v>557</v>
      </c>
      <c r="D25" t="s">
        <v>550</v>
      </c>
    </row>
    <row r="26" spans="1:4" x14ac:dyDescent="0.25">
      <c r="A26" t="s">
        <v>34</v>
      </c>
      <c r="B26" t="s">
        <v>84</v>
      </c>
      <c r="C26" t="s">
        <v>557</v>
      </c>
      <c r="D26" t="s">
        <v>550</v>
      </c>
    </row>
    <row r="27" spans="1:4" x14ac:dyDescent="0.25">
      <c r="A27" t="s">
        <v>35</v>
      </c>
      <c r="B27" t="s">
        <v>85</v>
      </c>
      <c r="C27" t="s">
        <v>557</v>
      </c>
      <c r="D27" t="s">
        <v>550</v>
      </c>
    </row>
    <row r="28" spans="1:4" x14ac:dyDescent="0.25">
      <c r="A28" t="s">
        <v>36</v>
      </c>
      <c r="B28" t="s">
        <v>86</v>
      </c>
      <c r="C28" t="s">
        <v>557</v>
      </c>
      <c r="D28" t="s">
        <v>550</v>
      </c>
    </row>
    <row r="29" spans="1:4" x14ac:dyDescent="0.25">
      <c r="A29" t="s">
        <v>1</v>
      </c>
      <c r="B29" t="s">
        <v>51</v>
      </c>
      <c r="C29" t="s">
        <v>553</v>
      </c>
      <c r="D29" t="s">
        <v>550</v>
      </c>
    </row>
    <row r="30" spans="1:4" x14ac:dyDescent="0.25">
      <c r="A30" t="s">
        <v>2</v>
      </c>
      <c r="B30" t="s">
        <v>52</v>
      </c>
      <c r="C30" t="s">
        <v>553</v>
      </c>
      <c r="D30" t="s">
        <v>550</v>
      </c>
    </row>
    <row r="31" spans="1:4" x14ac:dyDescent="0.25">
      <c r="A31" t="s">
        <v>3</v>
      </c>
      <c r="B31" t="s">
        <v>53</v>
      </c>
      <c r="C31" t="s">
        <v>553</v>
      </c>
      <c r="D31" t="s">
        <v>550</v>
      </c>
    </row>
    <row r="32" spans="1:4" x14ac:dyDescent="0.25">
      <c r="A32" t="s">
        <v>4</v>
      </c>
      <c r="B32" t="s">
        <v>54</v>
      </c>
      <c r="C32" t="s">
        <v>553</v>
      </c>
      <c r="D32" t="s">
        <v>550</v>
      </c>
    </row>
    <row r="33" spans="1:4" x14ac:dyDescent="0.25">
      <c r="A33" t="s">
        <v>5</v>
      </c>
      <c r="B33" t="s">
        <v>55</v>
      </c>
      <c r="C33" t="s">
        <v>553</v>
      </c>
      <c r="D33" t="s">
        <v>550</v>
      </c>
    </row>
    <row r="34" spans="1:4" x14ac:dyDescent="0.25">
      <c r="A34" t="s">
        <v>6</v>
      </c>
      <c r="B34" t="s">
        <v>56</v>
      </c>
      <c r="C34" t="s">
        <v>553</v>
      </c>
      <c r="D34" t="s">
        <v>550</v>
      </c>
    </row>
    <row r="35" spans="1:4" x14ac:dyDescent="0.25">
      <c r="A35" t="s">
        <v>7</v>
      </c>
      <c r="B35" t="s">
        <v>57</v>
      </c>
      <c r="C35" t="s">
        <v>553</v>
      </c>
      <c r="D35" t="s">
        <v>550</v>
      </c>
    </row>
    <row r="36" spans="1:4" x14ac:dyDescent="0.25">
      <c r="A36" t="s">
        <v>8</v>
      </c>
      <c r="B36" t="s">
        <v>58</v>
      </c>
      <c r="C36" t="s">
        <v>553</v>
      </c>
      <c r="D36" t="s">
        <v>550</v>
      </c>
    </row>
    <row r="37" spans="1:4" x14ac:dyDescent="0.25">
      <c r="A37" t="s">
        <v>9</v>
      </c>
      <c r="B37" t="s">
        <v>59</v>
      </c>
      <c r="C37" t="s">
        <v>553</v>
      </c>
      <c r="D37" t="s">
        <v>550</v>
      </c>
    </row>
    <row r="38" spans="1:4" x14ac:dyDescent="0.25">
      <c r="A38" t="s">
        <v>10</v>
      </c>
      <c r="B38" t="s">
        <v>60</v>
      </c>
      <c r="C38" t="s">
        <v>553</v>
      </c>
      <c r="D38" t="s">
        <v>550</v>
      </c>
    </row>
    <row r="39" spans="1:4" x14ac:dyDescent="0.25">
      <c r="A39" t="s">
        <v>11</v>
      </c>
      <c r="B39" t="s">
        <v>61</v>
      </c>
      <c r="C39" t="s">
        <v>553</v>
      </c>
      <c r="D39" t="s">
        <v>550</v>
      </c>
    </row>
    <row r="40" spans="1:4" x14ac:dyDescent="0.25">
      <c r="A40" t="s">
        <v>12</v>
      </c>
      <c r="B40" t="s">
        <v>62</v>
      </c>
      <c r="C40" t="s">
        <v>553</v>
      </c>
      <c r="D40" t="s">
        <v>550</v>
      </c>
    </row>
    <row r="41" spans="1:4" x14ac:dyDescent="0.25">
      <c r="A41" t="s">
        <v>13</v>
      </c>
      <c r="B41" t="s">
        <v>63</v>
      </c>
      <c r="C41" t="s">
        <v>105</v>
      </c>
      <c r="D41" t="s">
        <v>550</v>
      </c>
    </row>
    <row r="42" spans="1:4" x14ac:dyDescent="0.25">
      <c r="A42" t="s">
        <v>14</v>
      </c>
      <c r="B42" t="s">
        <v>64</v>
      </c>
      <c r="C42" t="s">
        <v>105</v>
      </c>
      <c r="D42" t="s">
        <v>550</v>
      </c>
    </row>
    <row r="43" spans="1:4" x14ac:dyDescent="0.25">
      <c r="A43" t="s">
        <v>15</v>
      </c>
      <c r="B43" t="s">
        <v>65</v>
      </c>
      <c r="C43" t="s">
        <v>105</v>
      </c>
      <c r="D43" t="s">
        <v>550</v>
      </c>
    </row>
    <row r="44" spans="1:4" x14ac:dyDescent="0.25">
      <c r="A44" t="s">
        <v>16</v>
      </c>
      <c r="B44" t="s">
        <v>66</v>
      </c>
      <c r="C44" t="s">
        <v>105</v>
      </c>
      <c r="D44" t="s">
        <v>550</v>
      </c>
    </row>
    <row r="45" spans="1:4" x14ac:dyDescent="0.25">
      <c r="A45" t="s">
        <v>17</v>
      </c>
      <c r="B45" t="s">
        <v>67</v>
      </c>
      <c r="C45" t="s">
        <v>105</v>
      </c>
      <c r="D45" t="s">
        <v>550</v>
      </c>
    </row>
    <row r="46" spans="1:4" x14ac:dyDescent="0.25">
      <c r="A46" t="s">
        <v>18</v>
      </c>
      <c r="B46" t="s">
        <v>68</v>
      </c>
      <c r="C46" t="s">
        <v>105</v>
      </c>
      <c r="D46" t="s">
        <v>550</v>
      </c>
    </row>
    <row r="47" spans="1:4" x14ac:dyDescent="0.25">
      <c r="A47" t="s">
        <v>19</v>
      </c>
      <c r="B47" t="s">
        <v>69</v>
      </c>
      <c r="C47" t="s">
        <v>105</v>
      </c>
      <c r="D47" t="s">
        <v>550</v>
      </c>
    </row>
    <row r="48" spans="1:4" x14ac:dyDescent="0.25">
      <c r="A48" t="s">
        <v>20</v>
      </c>
      <c r="B48" t="s">
        <v>70</v>
      </c>
      <c r="C48" t="s">
        <v>105</v>
      </c>
      <c r="D48" t="s">
        <v>550</v>
      </c>
    </row>
    <row r="49" spans="1:4" x14ac:dyDescent="0.25">
      <c r="A49" t="s">
        <v>21</v>
      </c>
      <c r="B49" t="s">
        <v>71</v>
      </c>
      <c r="C49" t="s">
        <v>105</v>
      </c>
      <c r="D49" t="s">
        <v>550</v>
      </c>
    </row>
    <row r="50" spans="1:4" x14ac:dyDescent="0.25">
      <c r="A50" t="s">
        <v>22</v>
      </c>
      <c r="B50" t="s">
        <v>72</v>
      </c>
      <c r="C50" t="s">
        <v>105</v>
      </c>
      <c r="D50" t="s">
        <v>550</v>
      </c>
    </row>
    <row r="51" spans="1:4" x14ac:dyDescent="0.25">
      <c r="A51" t="s">
        <v>23</v>
      </c>
      <c r="B51" t="s">
        <v>73</v>
      </c>
      <c r="C51" t="s">
        <v>105</v>
      </c>
      <c r="D51" t="s">
        <v>550</v>
      </c>
    </row>
    <row r="52" spans="1:4" x14ac:dyDescent="0.25">
      <c r="A52" t="s">
        <v>146</v>
      </c>
      <c r="B52" t="s">
        <v>185</v>
      </c>
      <c r="C52" t="s">
        <v>561</v>
      </c>
      <c r="D52" t="s">
        <v>550</v>
      </c>
    </row>
    <row r="53" spans="1:4" x14ac:dyDescent="0.25">
      <c r="A53" t="s">
        <v>147</v>
      </c>
      <c r="B53" t="s">
        <v>186</v>
      </c>
      <c r="C53" t="s">
        <v>561</v>
      </c>
      <c r="D53" t="s">
        <v>550</v>
      </c>
    </row>
    <row r="54" spans="1:4" x14ac:dyDescent="0.25">
      <c r="A54" t="s">
        <v>148</v>
      </c>
      <c r="B54" t="s">
        <v>95</v>
      </c>
      <c r="C54" t="s">
        <v>561</v>
      </c>
      <c r="D54" t="s">
        <v>550</v>
      </c>
    </row>
    <row r="55" spans="1:4" x14ac:dyDescent="0.25">
      <c r="A55" t="s">
        <v>149</v>
      </c>
      <c r="B55" t="s">
        <v>96</v>
      </c>
      <c r="C55" t="s">
        <v>561</v>
      </c>
      <c r="D55" t="s">
        <v>550</v>
      </c>
    </row>
    <row r="56" spans="1:4" x14ac:dyDescent="0.25">
      <c r="A56" t="s">
        <v>129</v>
      </c>
      <c r="B56" t="s">
        <v>169</v>
      </c>
      <c r="C56" t="s">
        <v>555</v>
      </c>
      <c r="D56" t="s">
        <v>550</v>
      </c>
    </row>
    <row r="57" spans="1:4" x14ac:dyDescent="0.25">
      <c r="A57" t="s">
        <v>130</v>
      </c>
      <c r="B57" t="s">
        <v>170</v>
      </c>
      <c r="C57" t="s">
        <v>555</v>
      </c>
      <c r="D57" t="s">
        <v>550</v>
      </c>
    </row>
    <row r="58" spans="1:4" x14ac:dyDescent="0.25">
      <c r="A58" t="s">
        <v>131</v>
      </c>
      <c r="B58" t="s">
        <v>171</v>
      </c>
      <c r="C58" t="s">
        <v>555</v>
      </c>
      <c r="D58" t="s">
        <v>550</v>
      </c>
    </row>
    <row r="59" spans="1:4" x14ac:dyDescent="0.25">
      <c r="A59" t="s">
        <v>132</v>
      </c>
      <c r="B59" t="s">
        <v>172</v>
      </c>
      <c r="C59" t="s">
        <v>555</v>
      </c>
      <c r="D59" t="s">
        <v>550</v>
      </c>
    </row>
    <row r="60" spans="1:4" x14ac:dyDescent="0.25">
      <c r="A60" t="s">
        <v>133</v>
      </c>
      <c r="B60" t="s">
        <v>173</v>
      </c>
      <c r="C60" t="s">
        <v>555</v>
      </c>
      <c r="D60" t="s">
        <v>550</v>
      </c>
    </row>
    <row r="61" spans="1:4" x14ac:dyDescent="0.25">
      <c r="A61" t="s">
        <v>134</v>
      </c>
      <c r="B61" t="s">
        <v>174</v>
      </c>
      <c r="C61" t="s">
        <v>555</v>
      </c>
      <c r="D61" t="s">
        <v>550</v>
      </c>
    </row>
    <row r="62" spans="1:4" x14ac:dyDescent="0.25">
      <c r="A62" t="s">
        <v>150</v>
      </c>
      <c r="B62" t="s">
        <v>97</v>
      </c>
      <c r="C62" t="s">
        <v>562</v>
      </c>
      <c r="D62" t="s">
        <v>550</v>
      </c>
    </row>
    <row r="63" spans="1:4" x14ac:dyDescent="0.25">
      <c r="A63" t="s">
        <v>151</v>
      </c>
      <c r="B63" t="s">
        <v>187</v>
      </c>
      <c r="C63" t="s">
        <v>562</v>
      </c>
      <c r="D63" t="s">
        <v>550</v>
      </c>
    </row>
    <row r="64" spans="1:4" x14ac:dyDescent="0.25">
      <c r="A64" t="s">
        <v>152</v>
      </c>
      <c r="B64" t="s">
        <v>188</v>
      </c>
      <c r="C64" t="s">
        <v>562</v>
      </c>
      <c r="D64" t="s">
        <v>550</v>
      </c>
    </row>
    <row r="65" spans="1:4" x14ac:dyDescent="0.25">
      <c r="A65" t="s">
        <v>153</v>
      </c>
      <c r="B65" t="s">
        <v>189</v>
      </c>
      <c r="C65" t="s">
        <v>562</v>
      </c>
      <c r="D65" t="s">
        <v>550</v>
      </c>
    </row>
    <row r="66" spans="1:4" x14ac:dyDescent="0.25">
      <c r="A66" t="s">
        <v>140</v>
      </c>
      <c r="B66" t="s">
        <v>180</v>
      </c>
      <c r="C66" t="s">
        <v>559</v>
      </c>
      <c r="D66" t="s">
        <v>550</v>
      </c>
    </row>
    <row r="67" spans="1:4" x14ac:dyDescent="0.25">
      <c r="A67" t="s">
        <v>141</v>
      </c>
      <c r="B67" t="s">
        <v>181</v>
      </c>
      <c r="C67" t="s">
        <v>559</v>
      </c>
      <c r="D67" t="s">
        <v>550</v>
      </c>
    </row>
    <row r="68" spans="1:4" x14ac:dyDescent="0.25">
      <c r="A68" t="s">
        <v>142</v>
      </c>
      <c r="B68" t="s">
        <v>89</v>
      </c>
      <c r="C68" t="s">
        <v>559</v>
      </c>
      <c r="D68" t="s">
        <v>550</v>
      </c>
    </row>
    <row r="69" spans="1:4" x14ac:dyDescent="0.25">
      <c r="A69" t="s">
        <v>143</v>
      </c>
      <c r="B69" t="s">
        <v>182</v>
      </c>
      <c r="C69" t="s">
        <v>559</v>
      </c>
      <c r="D69" t="s">
        <v>550</v>
      </c>
    </row>
    <row r="70" spans="1:4" x14ac:dyDescent="0.25">
      <c r="A70" t="s">
        <v>144</v>
      </c>
      <c r="B70" t="s">
        <v>183</v>
      </c>
      <c r="C70" t="s">
        <v>559</v>
      </c>
      <c r="D70" t="s">
        <v>550</v>
      </c>
    </row>
    <row r="71" spans="1:4" x14ac:dyDescent="0.25">
      <c r="A71" t="s">
        <v>145</v>
      </c>
      <c r="B71" t="s">
        <v>184</v>
      </c>
      <c r="C71" t="s">
        <v>559</v>
      </c>
      <c r="D71" t="s">
        <v>550</v>
      </c>
    </row>
    <row r="72" spans="1:4" x14ac:dyDescent="0.25">
      <c r="A72" t="s">
        <v>135</v>
      </c>
      <c r="B72" t="s">
        <v>175</v>
      </c>
      <c r="C72" t="s">
        <v>557</v>
      </c>
      <c r="D72" t="s">
        <v>550</v>
      </c>
    </row>
    <row r="73" spans="1:4" x14ac:dyDescent="0.25">
      <c r="A73" t="s">
        <v>136</v>
      </c>
      <c r="B73" t="s">
        <v>176</v>
      </c>
      <c r="C73" t="s">
        <v>557</v>
      </c>
      <c r="D73" t="s">
        <v>550</v>
      </c>
    </row>
    <row r="74" spans="1:4" x14ac:dyDescent="0.25">
      <c r="A74" t="s">
        <v>137</v>
      </c>
      <c r="B74" t="s">
        <v>177</v>
      </c>
      <c r="C74" t="s">
        <v>557</v>
      </c>
      <c r="D74" t="s">
        <v>550</v>
      </c>
    </row>
    <row r="75" spans="1:4" x14ac:dyDescent="0.25">
      <c r="A75" t="s">
        <v>138</v>
      </c>
      <c r="B75" t="s">
        <v>178</v>
      </c>
      <c r="C75" t="s">
        <v>557</v>
      </c>
      <c r="D75" t="s">
        <v>550</v>
      </c>
    </row>
    <row r="76" spans="1:4" x14ac:dyDescent="0.25">
      <c r="A76" t="s">
        <v>139</v>
      </c>
      <c r="B76" t="s">
        <v>179</v>
      </c>
      <c r="C76" t="s">
        <v>557</v>
      </c>
      <c r="D76" t="s">
        <v>550</v>
      </c>
    </row>
    <row r="77" spans="1:4" x14ac:dyDescent="0.25">
      <c r="A77" t="s">
        <v>106</v>
      </c>
      <c r="B77" t="s">
        <v>55</v>
      </c>
      <c r="C77" s="1" t="s">
        <v>553</v>
      </c>
      <c r="D77" t="s">
        <v>550</v>
      </c>
    </row>
    <row r="78" spans="1:4" x14ac:dyDescent="0.25">
      <c r="A78" t="s">
        <v>107</v>
      </c>
      <c r="B78" t="s">
        <v>154</v>
      </c>
      <c r="C78" t="s">
        <v>553</v>
      </c>
      <c r="D78" t="s">
        <v>550</v>
      </c>
    </row>
    <row r="79" spans="1:4" x14ac:dyDescent="0.25">
      <c r="A79" t="s">
        <v>108</v>
      </c>
      <c r="B79" t="s">
        <v>155</v>
      </c>
      <c r="C79" t="s">
        <v>553</v>
      </c>
      <c r="D79" t="s">
        <v>550</v>
      </c>
    </row>
    <row r="80" spans="1:4" x14ac:dyDescent="0.25">
      <c r="A80" t="s">
        <v>109</v>
      </c>
      <c r="B80" t="s">
        <v>54</v>
      </c>
      <c r="C80" t="s">
        <v>553</v>
      </c>
      <c r="D80" t="s">
        <v>550</v>
      </c>
    </row>
    <row r="81" spans="1:4" x14ac:dyDescent="0.25">
      <c r="A81" t="s">
        <v>110</v>
      </c>
      <c r="B81" t="s">
        <v>156</v>
      </c>
      <c r="C81" t="s">
        <v>553</v>
      </c>
      <c r="D81" t="s">
        <v>550</v>
      </c>
    </row>
    <row r="82" spans="1:4" x14ac:dyDescent="0.25">
      <c r="A82" t="s">
        <v>111</v>
      </c>
      <c r="B82" t="s">
        <v>157</v>
      </c>
      <c r="C82" t="s">
        <v>553</v>
      </c>
      <c r="D82" t="s">
        <v>550</v>
      </c>
    </row>
    <row r="83" spans="1:4" x14ac:dyDescent="0.25">
      <c r="A83" t="s">
        <v>112</v>
      </c>
      <c r="B83" t="s">
        <v>158</v>
      </c>
      <c r="C83" t="s">
        <v>553</v>
      </c>
      <c r="D83" t="s">
        <v>550</v>
      </c>
    </row>
    <row r="84" spans="1:4" x14ac:dyDescent="0.25">
      <c r="A84" t="s">
        <v>113</v>
      </c>
      <c r="B84" t="s">
        <v>58</v>
      </c>
      <c r="C84" t="s">
        <v>553</v>
      </c>
      <c r="D84" t="s">
        <v>550</v>
      </c>
    </row>
    <row r="85" spans="1:4" x14ac:dyDescent="0.25">
      <c r="A85" t="s">
        <v>114</v>
      </c>
      <c r="B85" t="s">
        <v>159</v>
      </c>
      <c r="C85" t="s">
        <v>553</v>
      </c>
      <c r="D85" t="s">
        <v>550</v>
      </c>
    </row>
    <row r="86" spans="1:4" x14ac:dyDescent="0.25">
      <c r="A86" t="s">
        <v>115</v>
      </c>
      <c r="B86" t="s">
        <v>160</v>
      </c>
      <c r="C86" t="s">
        <v>553</v>
      </c>
      <c r="D86" t="s">
        <v>550</v>
      </c>
    </row>
    <row r="87" spans="1:4" x14ac:dyDescent="0.25">
      <c r="A87" t="s">
        <v>116</v>
      </c>
      <c r="B87" t="s">
        <v>161</v>
      </c>
      <c r="C87" t="s">
        <v>553</v>
      </c>
      <c r="D87" t="s">
        <v>550</v>
      </c>
    </row>
    <row r="88" spans="1:4" x14ac:dyDescent="0.25">
      <c r="A88" t="s">
        <v>117</v>
      </c>
      <c r="B88" t="s">
        <v>162</v>
      </c>
      <c r="C88" t="s">
        <v>553</v>
      </c>
      <c r="D88" t="s">
        <v>550</v>
      </c>
    </row>
    <row r="89" spans="1:4" x14ac:dyDescent="0.25">
      <c r="A89" t="s">
        <v>118</v>
      </c>
      <c r="B89" t="s">
        <v>163</v>
      </c>
      <c r="C89" t="s">
        <v>105</v>
      </c>
      <c r="D89" t="s">
        <v>550</v>
      </c>
    </row>
    <row r="90" spans="1:4" x14ac:dyDescent="0.25">
      <c r="A90" t="s">
        <v>119</v>
      </c>
      <c r="B90" t="s">
        <v>66</v>
      </c>
      <c r="C90" t="s">
        <v>105</v>
      </c>
      <c r="D90" t="s">
        <v>550</v>
      </c>
    </row>
    <row r="91" spans="1:4" x14ac:dyDescent="0.25">
      <c r="A91" t="s">
        <v>120</v>
      </c>
      <c r="B91" t="s">
        <v>65</v>
      </c>
      <c r="C91" t="s">
        <v>105</v>
      </c>
      <c r="D91" t="s">
        <v>550</v>
      </c>
    </row>
    <row r="92" spans="1:4" x14ac:dyDescent="0.25">
      <c r="A92" t="s">
        <v>121</v>
      </c>
      <c r="B92" t="s">
        <v>67</v>
      </c>
      <c r="C92" t="s">
        <v>105</v>
      </c>
      <c r="D92" t="s">
        <v>550</v>
      </c>
    </row>
    <row r="93" spans="1:4" x14ac:dyDescent="0.25">
      <c r="A93" t="s">
        <v>122</v>
      </c>
      <c r="B93" t="s">
        <v>164</v>
      </c>
      <c r="C93" t="s">
        <v>105</v>
      </c>
      <c r="D93" t="s">
        <v>550</v>
      </c>
    </row>
    <row r="94" spans="1:4" x14ac:dyDescent="0.25">
      <c r="A94" t="s">
        <v>123</v>
      </c>
      <c r="B94" t="s">
        <v>69</v>
      </c>
      <c r="C94" t="s">
        <v>105</v>
      </c>
      <c r="D94" t="s">
        <v>550</v>
      </c>
    </row>
    <row r="95" spans="1:4" x14ac:dyDescent="0.25">
      <c r="A95" t="s">
        <v>124</v>
      </c>
      <c r="B95" t="s">
        <v>165</v>
      </c>
      <c r="C95" t="s">
        <v>105</v>
      </c>
      <c r="D95" t="s">
        <v>550</v>
      </c>
    </row>
    <row r="96" spans="1:4" x14ac:dyDescent="0.25">
      <c r="A96" t="s">
        <v>125</v>
      </c>
      <c r="B96" t="s">
        <v>166</v>
      </c>
      <c r="C96" t="s">
        <v>105</v>
      </c>
      <c r="D96" t="s">
        <v>550</v>
      </c>
    </row>
    <row r="97" spans="1:4" x14ac:dyDescent="0.25">
      <c r="A97" t="s">
        <v>126</v>
      </c>
      <c r="B97" t="s">
        <v>72</v>
      </c>
      <c r="C97" t="s">
        <v>105</v>
      </c>
      <c r="D97" t="s">
        <v>550</v>
      </c>
    </row>
    <row r="98" spans="1:4" x14ac:dyDescent="0.25">
      <c r="A98" t="s">
        <v>127</v>
      </c>
      <c r="B98" t="s">
        <v>167</v>
      </c>
      <c r="C98" t="s">
        <v>105</v>
      </c>
      <c r="D98" t="s">
        <v>550</v>
      </c>
    </row>
    <row r="99" spans="1:4" x14ac:dyDescent="0.25">
      <c r="A99" t="s">
        <v>128</v>
      </c>
      <c r="B99" t="s">
        <v>168</v>
      </c>
      <c r="C99" t="s">
        <v>105</v>
      </c>
      <c r="D99" t="s">
        <v>550</v>
      </c>
    </row>
    <row r="100" spans="1:4" x14ac:dyDescent="0.25">
      <c r="A100" t="s">
        <v>268</v>
      </c>
      <c r="B100" t="s">
        <v>93</v>
      </c>
      <c r="C100" t="s">
        <v>561</v>
      </c>
      <c r="D100" t="s">
        <v>550</v>
      </c>
    </row>
    <row r="101" spans="1:4" x14ac:dyDescent="0.25">
      <c r="A101" t="s">
        <v>269</v>
      </c>
      <c r="B101" t="s">
        <v>221</v>
      </c>
      <c r="C101" t="s">
        <v>561</v>
      </c>
      <c r="D101" t="s">
        <v>550</v>
      </c>
    </row>
    <row r="102" spans="1:4" x14ac:dyDescent="0.25">
      <c r="A102" t="s">
        <v>270</v>
      </c>
      <c r="B102" t="s">
        <v>222</v>
      </c>
      <c r="C102" t="s">
        <v>561</v>
      </c>
      <c r="D102" t="s">
        <v>550</v>
      </c>
    </row>
    <row r="103" spans="1:4" x14ac:dyDescent="0.25">
      <c r="A103" t="s">
        <v>271</v>
      </c>
      <c r="B103" t="s">
        <v>223</v>
      </c>
      <c r="C103" t="s">
        <v>561</v>
      </c>
      <c r="D103" t="s">
        <v>550</v>
      </c>
    </row>
    <row r="104" spans="1:4" x14ac:dyDescent="0.25">
      <c r="A104" t="s">
        <v>251</v>
      </c>
      <c r="B104" t="s">
        <v>79</v>
      </c>
      <c r="C104" t="s">
        <v>555</v>
      </c>
      <c r="D104" t="s">
        <v>550</v>
      </c>
    </row>
    <row r="105" spans="1:4" x14ac:dyDescent="0.25">
      <c r="A105" t="s">
        <v>252</v>
      </c>
      <c r="B105" t="s">
        <v>206</v>
      </c>
      <c r="C105" t="s">
        <v>555</v>
      </c>
      <c r="D105" t="s">
        <v>550</v>
      </c>
    </row>
    <row r="106" spans="1:4" x14ac:dyDescent="0.25">
      <c r="A106" t="s">
        <v>253</v>
      </c>
      <c r="B106" t="s">
        <v>207</v>
      </c>
      <c r="C106" t="s">
        <v>555</v>
      </c>
      <c r="D106" t="s">
        <v>550</v>
      </c>
    </row>
    <row r="107" spans="1:4" x14ac:dyDescent="0.25">
      <c r="A107" t="s">
        <v>254</v>
      </c>
      <c r="B107" t="s">
        <v>208</v>
      </c>
      <c r="C107" t="s">
        <v>555</v>
      </c>
      <c r="D107" t="s">
        <v>550</v>
      </c>
    </row>
    <row r="108" spans="1:4" x14ac:dyDescent="0.25">
      <c r="A108" t="s">
        <v>255</v>
      </c>
      <c r="B108" t="s">
        <v>209</v>
      </c>
      <c r="C108" t="s">
        <v>555</v>
      </c>
      <c r="D108" t="s">
        <v>550</v>
      </c>
    </row>
    <row r="109" spans="1:4" x14ac:dyDescent="0.25">
      <c r="A109" t="s">
        <v>256</v>
      </c>
      <c r="B109" t="s">
        <v>210</v>
      </c>
      <c r="C109" t="s">
        <v>555</v>
      </c>
      <c r="D109" t="s">
        <v>550</v>
      </c>
    </row>
    <row r="110" spans="1:4" x14ac:dyDescent="0.25">
      <c r="A110" t="s">
        <v>257</v>
      </c>
      <c r="B110" t="s">
        <v>211</v>
      </c>
      <c r="C110" t="s">
        <v>555</v>
      </c>
      <c r="D110" t="s">
        <v>550</v>
      </c>
    </row>
    <row r="111" spans="1:4" x14ac:dyDescent="0.25">
      <c r="A111" t="s">
        <v>263</v>
      </c>
      <c r="B111" t="s">
        <v>216</v>
      </c>
      <c r="C111" t="s">
        <v>559</v>
      </c>
      <c r="D111" t="s">
        <v>550</v>
      </c>
    </row>
    <row r="112" spans="1:4" x14ac:dyDescent="0.25">
      <c r="A112" t="s">
        <v>264</v>
      </c>
      <c r="B112" t="s">
        <v>217</v>
      </c>
      <c r="C112" t="s">
        <v>559</v>
      </c>
      <c r="D112" t="s">
        <v>550</v>
      </c>
    </row>
    <row r="113" spans="1:4" x14ac:dyDescent="0.25">
      <c r="A113" t="s">
        <v>265</v>
      </c>
      <c r="B113" t="s">
        <v>218</v>
      </c>
      <c r="C113" t="s">
        <v>559</v>
      </c>
      <c r="D113" t="s">
        <v>550</v>
      </c>
    </row>
    <row r="114" spans="1:4" x14ac:dyDescent="0.25">
      <c r="A114" t="s">
        <v>266</v>
      </c>
      <c r="B114" t="s">
        <v>219</v>
      </c>
      <c r="C114" t="s">
        <v>559</v>
      </c>
      <c r="D114" t="s">
        <v>550</v>
      </c>
    </row>
    <row r="115" spans="1:4" x14ac:dyDescent="0.25">
      <c r="A115" t="s">
        <v>267</v>
      </c>
      <c r="B115" t="s">
        <v>220</v>
      </c>
      <c r="C115" t="s">
        <v>559</v>
      </c>
      <c r="D115" t="s">
        <v>550</v>
      </c>
    </row>
    <row r="116" spans="1:4" x14ac:dyDescent="0.25">
      <c r="A116" t="s">
        <v>258</v>
      </c>
      <c r="B116" t="s">
        <v>84</v>
      </c>
      <c r="C116" t="s">
        <v>557</v>
      </c>
      <c r="D116" t="s">
        <v>550</v>
      </c>
    </row>
    <row r="117" spans="1:4" x14ac:dyDescent="0.25">
      <c r="A117" t="s">
        <v>259</v>
      </c>
      <c r="B117" t="s">
        <v>212</v>
      </c>
      <c r="C117" t="s">
        <v>557</v>
      </c>
      <c r="D117" t="s">
        <v>550</v>
      </c>
    </row>
    <row r="118" spans="1:4" x14ac:dyDescent="0.25">
      <c r="A118" t="s">
        <v>260</v>
      </c>
      <c r="B118" t="s">
        <v>213</v>
      </c>
      <c r="C118" t="s">
        <v>557</v>
      </c>
      <c r="D118" t="s">
        <v>550</v>
      </c>
    </row>
    <row r="119" spans="1:4" x14ac:dyDescent="0.25">
      <c r="A119" t="s">
        <v>261</v>
      </c>
      <c r="B119" t="s">
        <v>214</v>
      </c>
      <c r="C119" t="s">
        <v>557</v>
      </c>
      <c r="D119" t="s">
        <v>550</v>
      </c>
    </row>
    <row r="120" spans="1:4" x14ac:dyDescent="0.25">
      <c r="A120" t="s">
        <v>262</v>
      </c>
      <c r="B120" t="s">
        <v>215</v>
      </c>
      <c r="C120" t="s">
        <v>557</v>
      </c>
      <c r="D120" t="s">
        <v>550</v>
      </c>
    </row>
    <row r="121" spans="1:4" x14ac:dyDescent="0.25">
      <c r="A121" t="s">
        <v>227</v>
      </c>
      <c r="B121" t="s">
        <v>276</v>
      </c>
      <c r="C121" t="s">
        <v>553</v>
      </c>
      <c r="D121" t="s">
        <v>550</v>
      </c>
    </row>
    <row r="122" spans="1:4" x14ac:dyDescent="0.25">
      <c r="A122" t="s">
        <v>228</v>
      </c>
      <c r="B122" t="s">
        <v>277</v>
      </c>
      <c r="C122" t="s">
        <v>553</v>
      </c>
      <c r="D122" t="s">
        <v>550</v>
      </c>
    </row>
    <row r="123" spans="1:4" x14ac:dyDescent="0.25">
      <c r="A123" t="s">
        <v>229</v>
      </c>
      <c r="B123" t="s">
        <v>191</v>
      </c>
      <c r="C123" t="s">
        <v>553</v>
      </c>
      <c r="D123" t="s">
        <v>550</v>
      </c>
    </row>
    <row r="124" spans="1:4" x14ac:dyDescent="0.25">
      <c r="A124" t="s">
        <v>230</v>
      </c>
      <c r="B124" t="s">
        <v>192</v>
      </c>
      <c r="C124" t="s">
        <v>553</v>
      </c>
      <c r="D124" t="s">
        <v>550</v>
      </c>
    </row>
    <row r="125" spans="1:4" x14ac:dyDescent="0.25">
      <c r="A125" t="s">
        <v>231</v>
      </c>
      <c r="B125" t="s">
        <v>193</v>
      </c>
      <c r="C125" t="s">
        <v>553</v>
      </c>
      <c r="D125" t="s">
        <v>550</v>
      </c>
    </row>
    <row r="126" spans="1:4" x14ac:dyDescent="0.25">
      <c r="A126" t="s">
        <v>232</v>
      </c>
      <c r="B126" t="s">
        <v>194</v>
      </c>
      <c r="C126" t="s">
        <v>553</v>
      </c>
      <c r="D126" t="s">
        <v>550</v>
      </c>
    </row>
    <row r="127" spans="1:4" x14ac:dyDescent="0.25">
      <c r="A127" t="s">
        <v>233</v>
      </c>
      <c r="B127" t="s">
        <v>278</v>
      </c>
      <c r="C127" t="s">
        <v>553</v>
      </c>
      <c r="D127" t="s">
        <v>550</v>
      </c>
    </row>
    <row r="128" spans="1:4" x14ac:dyDescent="0.25">
      <c r="A128" t="s">
        <v>234</v>
      </c>
      <c r="B128" t="s">
        <v>195</v>
      </c>
      <c r="C128" t="s">
        <v>553</v>
      </c>
      <c r="D128" t="s">
        <v>550</v>
      </c>
    </row>
    <row r="129" spans="1:4" x14ac:dyDescent="0.25">
      <c r="A129" t="s">
        <v>235</v>
      </c>
      <c r="B129" t="s">
        <v>279</v>
      </c>
      <c r="C129" t="s">
        <v>553</v>
      </c>
      <c r="D129" t="s">
        <v>550</v>
      </c>
    </row>
    <row r="130" spans="1:4" x14ac:dyDescent="0.25">
      <c r="A130" t="s">
        <v>236</v>
      </c>
      <c r="B130" t="s">
        <v>280</v>
      </c>
      <c r="C130" t="s">
        <v>553</v>
      </c>
      <c r="D130" t="s">
        <v>550</v>
      </c>
    </row>
    <row r="131" spans="1:4" x14ac:dyDescent="0.25">
      <c r="A131" t="s">
        <v>237</v>
      </c>
      <c r="B131" t="s">
        <v>196</v>
      </c>
      <c r="C131" t="s">
        <v>553</v>
      </c>
      <c r="D131" t="s">
        <v>550</v>
      </c>
    </row>
    <row r="132" spans="1:4" x14ac:dyDescent="0.25">
      <c r="A132" t="s">
        <v>238</v>
      </c>
      <c r="B132" t="s">
        <v>281</v>
      </c>
      <c r="C132" t="s">
        <v>553</v>
      </c>
      <c r="D132" t="s">
        <v>550</v>
      </c>
    </row>
    <row r="133" spans="1:4" x14ac:dyDescent="0.25">
      <c r="A133" t="s">
        <v>239</v>
      </c>
      <c r="B133" t="s">
        <v>282</v>
      </c>
      <c r="C133" t="s">
        <v>105</v>
      </c>
      <c r="D133" t="s">
        <v>550</v>
      </c>
    </row>
    <row r="134" spans="1:4" x14ac:dyDescent="0.25">
      <c r="A134" t="s">
        <v>240</v>
      </c>
      <c r="B134" t="s">
        <v>66</v>
      </c>
      <c r="C134" t="s">
        <v>105</v>
      </c>
      <c r="D134" t="s">
        <v>550</v>
      </c>
    </row>
    <row r="135" spans="1:4" x14ac:dyDescent="0.25">
      <c r="A135" t="s">
        <v>241</v>
      </c>
      <c r="B135" t="s">
        <v>197</v>
      </c>
      <c r="C135" t="s">
        <v>105</v>
      </c>
      <c r="D135" t="s">
        <v>550</v>
      </c>
    </row>
    <row r="136" spans="1:4" x14ac:dyDescent="0.25">
      <c r="A136" t="s">
        <v>242</v>
      </c>
      <c r="B136" t="s">
        <v>198</v>
      </c>
      <c r="C136" t="s">
        <v>105</v>
      </c>
      <c r="D136" t="s">
        <v>550</v>
      </c>
    </row>
    <row r="137" spans="1:4" x14ac:dyDescent="0.25">
      <c r="A137" t="s">
        <v>243</v>
      </c>
      <c r="B137" t="s">
        <v>199</v>
      </c>
      <c r="C137" t="s">
        <v>105</v>
      </c>
      <c r="D137" t="s">
        <v>550</v>
      </c>
    </row>
    <row r="138" spans="1:4" x14ac:dyDescent="0.25">
      <c r="A138" t="s">
        <v>244</v>
      </c>
      <c r="B138" t="s">
        <v>200</v>
      </c>
      <c r="C138" t="s">
        <v>105</v>
      </c>
      <c r="D138" t="s">
        <v>550</v>
      </c>
    </row>
    <row r="139" spans="1:4" x14ac:dyDescent="0.25">
      <c r="A139" t="s">
        <v>245</v>
      </c>
      <c r="B139" t="s">
        <v>201</v>
      </c>
      <c r="C139" t="s">
        <v>105</v>
      </c>
      <c r="D139" t="s">
        <v>550</v>
      </c>
    </row>
    <row r="140" spans="1:4" x14ac:dyDescent="0.25">
      <c r="A140" t="s">
        <v>246</v>
      </c>
      <c r="B140" t="s">
        <v>202</v>
      </c>
      <c r="C140" t="s">
        <v>105</v>
      </c>
      <c r="D140" t="s">
        <v>550</v>
      </c>
    </row>
    <row r="141" spans="1:4" x14ac:dyDescent="0.25">
      <c r="A141" t="s">
        <v>247</v>
      </c>
      <c r="B141" t="s">
        <v>283</v>
      </c>
      <c r="C141" t="s">
        <v>105</v>
      </c>
      <c r="D141" t="s">
        <v>550</v>
      </c>
    </row>
    <row r="142" spans="1:4" x14ac:dyDescent="0.25">
      <c r="A142" t="s">
        <v>248</v>
      </c>
      <c r="B142" t="s">
        <v>203</v>
      </c>
      <c r="C142" t="s">
        <v>105</v>
      </c>
      <c r="D142" t="s">
        <v>550</v>
      </c>
    </row>
    <row r="143" spans="1:4" x14ac:dyDescent="0.25">
      <c r="A143" t="s">
        <v>249</v>
      </c>
      <c r="B143" t="s">
        <v>204</v>
      </c>
      <c r="C143" t="s">
        <v>105</v>
      </c>
      <c r="D143" t="s">
        <v>550</v>
      </c>
    </row>
    <row r="144" spans="1:4" x14ac:dyDescent="0.25">
      <c r="A144" t="s">
        <v>250</v>
      </c>
      <c r="B144" t="s">
        <v>205</v>
      </c>
      <c r="C144" t="s">
        <v>105</v>
      </c>
      <c r="D144" t="s">
        <v>550</v>
      </c>
    </row>
    <row r="145" spans="1:4" x14ac:dyDescent="0.25">
      <c r="A145" t="s">
        <v>325</v>
      </c>
      <c r="B145" t="s">
        <v>185</v>
      </c>
      <c r="C145" t="s">
        <v>561</v>
      </c>
      <c r="D145" t="s">
        <v>550</v>
      </c>
    </row>
    <row r="146" spans="1:4" x14ac:dyDescent="0.25">
      <c r="A146" t="s">
        <v>326</v>
      </c>
      <c r="B146" t="s">
        <v>221</v>
      </c>
      <c r="C146" t="s">
        <v>561</v>
      </c>
      <c r="D146" t="s">
        <v>550</v>
      </c>
    </row>
    <row r="147" spans="1:4" x14ac:dyDescent="0.25">
      <c r="A147" t="s">
        <v>327</v>
      </c>
      <c r="B147" t="s">
        <v>365</v>
      </c>
      <c r="C147" t="s">
        <v>561</v>
      </c>
      <c r="D147" t="s">
        <v>550</v>
      </c>
    </row>
    <row r="148" spans="1:4" x14ac:dyDescent="0.25">
      <c r="A148" t="s">
        <v>328</v>
      </c>
      <c r="B148" t="s">
        <v>366</v>
      </c>
      <c r="C148" t="s">
        <v>561</v>
      </c>
      <c r="D148" t="s">
        <v>550</v>
      </c>
    </row>
    <row r="149" spans="1:4" x14ac:dyDescent="0.25">
      <c r="A149" t="s">
        <v>308</v>
      </c>
      <c r="B149" t="s">
        <v>351</v>
      </c>
      <c r="C149" t="s">
        <v>555</v>
      </c>
      <c r="D149" t="s">
        <v>550</v>
      </c>
    </row>
    <row r="150" spans="1:4" x14ac:dyDescent="0.25">
      <c r="A150" t="s">
        <v>309</v>
      </c>
      <c r="B150" t="s">
        <v>352</v>
      </c>
      <c r="C150" t="s">
        <v>555</v>
      </c>
      <c r="D150" t="s">
        <v>550</v>
      </c>
    </row>
    <row r="151" spans="1:4" x14ac:dyDescent="0.25">
      <c r="A151" t="s">
        <v>310</v>
      </c>
      <c r="B151" t="s">
        <v>353</v>
      </c>
      <c r="C151" t="s">
        <v>555</v>
      </c>
      <c r="D151" t="s">
        <v>550</v>
      </c>
    </row>
    <row r="152" spans="1:4" x14ac:dyDescent="0.25">
      <c r="A152" t="s">
        <v>311</v>
      </c>
      <c r="B152" t="s">
        <v>354</v>
      </c>
      <c r="C152" t="s">
        <v>555</v>
      </c>
      <c r="D152" t="s">
        <v>550</v>
      </c>
    </row>
    <row r="153" spans="1:4" x14ac:dyDescent="0.25">
      <c r="A153" t="s">
        <v>312</v>
      </c>
      <c r="B153" t="s">
        <v>355</v>
      </c>
      <c r="C153" t="s">
        <v>555</v>
      </c>
      <c r="D153" t="s">
        <v>550</v>
      </c>
    </row>
    <row r="154" spans="1:4" x14ac:dyDescent="0.25">
      <c r="A154" t="s">
        <v>313</v>
      </c>
      <c r="B154" t="s">
        <v>209</v>
      </c>
      <c r="C154" t="s">
        <v>555</v>
      </c>
      <c r="D154" t="s">
        <v>550</v>
      </c>
    </row>
    <row r="155" spans="1:4" x14ac:dyDescent="0.25">
      <c r="A155" t="s">
        <v>314</v>
      </c>
      <c r="B155" t="s">
        <v>356</v>
      </c>
      <c r="C155" t="s">
        <v>555</v>
      </c>
      <c r="D155" t="s">
        <v>550</v>
      </c>
    </row>
    <row r="156" spans="1:4" x14ac:dyDescent="0.25">
      <c r="A156" t="s">
        <v>329</v>
      </c>
      <c r="B156" t="s">
        <v>224</v>
      </c>
      <c r="C156" t="s">
        <v>562</v>
      </c>
      <c r="D156" t="s">
        <v>550</v>
      </c>
    </row>
    <row r="157" spans="1:4" x14ac:dyDescent="0.25">
      <c r="A157" t="s">
        <v>330</v>
      </c>
      <c r="B157" t="s">
        <v>367</v>
      </c>
      <c r="C157" t="s">
        <v>562</v>
      </c>
      <c r="D157" t="s">
        <v>550</v>
      </c>
    </row>
    <row r="158" spans="1:4" x14ac:dyDescent="0.25">
      <c r="A158" t="s">
        <v>331</v>
      </c>
      <c r="B158" t="s">
        <v>368</v>
      </c>
      <c r="C158" t="s">
        <v>562</v>
      </c>
      <c r="D158" t="s">
        <v>550</v>
      </c>
    </row>
    <row r="159" spans="1:4" x14ac:dyDescent="0.25">
      <c r="A159" t="s">
        <v>332</v>
      </c>
      <c r="B159" t="s">
        <v>226</v>
      </c>
      <c r="C159" t="s">
        <v>562</v>
      </c>
      <c r="D159" t="s">
        <v>550</v>
      </c>
    </row>
    <row r="160" spans="1:4" x14ac:dyDescent="0.25">
      <c r="A160" t="s">
        <v>320</v>
      </c>
      <c r="B160" t="s">
        <v>360</v>
      </c>
      <c r="C160" t="s">
        <v>559</v>
      </c>
      <c r="D160" t="s">
        <v>550</v>
      </c>
    </row>
    <row r="161" spans="1:4" x14ac:dyDescent="0.25">
      <c r="A161" t="s">
        <v>321</v>
      </c>
      <c r="B161" t="s">
        <v>361</v>
      </c>
      <c r="C161" t="s">
        <v>559</v>
      </c>
      <c r="D161" t="s">
        <v>550</v>
      </c>
    </row>
    <row r="162" spans="1:4" x14ac:dyDescent="0.25">
      <c r="A162" t="s">
        <v>322</v>
      </c>
      <c r="B162" t="s">
        <v>362</v>
      </c>
      <c r="C162" t="s">
        <v>559</v>
      </c>
      <c r="D162" t="s">
        <v>550</v>
      </c>
    </row>
    <row r="163" spans="1:4" x14ac:dyDescent="0.25">
      <c r="A163" t="s">
        <v>323</v>
      </c>
      <c r="B163" t="s">
        <v>363</v>
      </c>
      <c r="C163" t="s">
        <v>559</v>
      </c>
      <c r="D163" t="s">
        <v>550</v>
      </c>
    </row>
    <row r="164" spans="1:4" x14ac:dyDescent="0.25">
      <c r="A164" t="s">
        <v>324</v>
      </c>
      <c r="B164" t="s">
        <v>364</v>
      </c>
      <c r="C164" t="s">
        <v>559</v>
      </c>
      <c r="D164" t="s">
        <v>550</v>
      </c>
    </row>
    <row r="165" spans="1:4" x14ac:dyDescent="0.25">
      <c r="A165" t="s">
        <v>315</v>
      </c>
      <c r="B165" t="s">
        <v>357</v>
      </c>
      <c r="C165" t="s">
        <v>557</v>
      </c>
      <c r="D165" t="s">
        <v>550</v>
      </c>
    </row>
    <row r="166" spans="1:4" x14ac:dyDescent="0.25">
      <c r="A166" t="s">
        <v>316</v>
      </c>
      <c r="B166" t="s">
        <v>84</v>
      </c>
      <c r="C166" t="s">
        <v>557</v>
      </c>
      <c r="D166" t="s">
        <v>550</v>
      </c>
    </row>
    <row r="167" spans="1:4" x14ac:dyDescent="0.25">
      <c r="A167" t="s">
        <v>317</v>
      </c>
      <c r="B167" t="s">
        <v>358</v>
      </c>
      <c r="C167" t="s">
        <v>557</v>
      </c>
      <c r="D167" t="s">
        <v>550</v>
      </c>
    </row>
    <row r="168" spans="1:4" x14ac:dyDescent="0.25">
      <c r="A168" t="s">
        <v>318</v>
      </c>
      <c r="B168" t="s">
        <v>359</v>
      </c>
      <c r="C168" t="s">
        <v>557</v>
      </c>
      <c r="D168" t="s">
        <v>550</v>
      </c>
    </row>
    <row r="169" spans="1:4" x14ac:dyDescent="0.25">
      <c r="A169" t="s">
        <v>319</v>
      </c>
      <c r="B169" t="s">
        <v>215</v>
      </c>
      <c r="C169" t="s">
        <v>557</v>
      </c>
      <c r="D169" t="s">
        <v>550</v>
      </c>
    </row>
    <row r="170" spans="1:4" x14ac:dyDescent="0.25">
      <c r="A170" t="s">
        <v>284</v>
      </c>
      <c r="B170" t="s">
        <v>333</v>
      </c>
      <c r="C170" t="s">
        <v>553</v>
      </c>
      <c r="D170" t="s">
        <v>550</v>
      </c>
    </row>
    <row r="171" spans="1:4" x14ac:dyDescent="0.25">
      <c r="A171" t="s">
        <v>285</v>
      </c>
      <c r="B171" t="s">
        <v>54</v>
      </c>
      <c r="C171" t="s">
        <v>553</v>
      </c>
      <c r="D171" t="s">
        <v>550</v>
      </c>
    </row>
    <row r="172" spans="1:4" x14ac:dyDescent="0.25">
      <c r="A172" t="s">
        <v>286</v>
      </c>
      <c r="B172" t="s">
        <v>192</v>
      </c>
      <c r="C172" t="s">
        <v>553</v>
      </c>
      <c r="D172" t="s">
        <v>550</v>
      </c>
    </row>
    <row r="173" spans="1:4" x14ac:dyDescent="0.25">
      <c r="A173" t="s">
        <v>287</v>
      </c>
      <c r="B173" t="s">
        <v>193</v>
      </c>
      <c r="C173" t="s">
        <v>553</v>
      </c>
      <c r="D173" t="s">
        <v>550</v>
      </c>
    </row>
    <row r="174" spans="1:4" x14ac:dyDescent="0.25">
      <c r="A174" t="s">
        <v>288</v>
      </c>
      <c r="B174" t="s">
        <v>334</v>
      </c>
      <c r="C174" t="s">
        <v>553</v>
      </c>
      <c r="D174" t="s">
        <v>550</v>
      </c>
    </row>
    <row r="175" spans="1:4" x14ac:dyDescent="0.25">
      <c r="A175" t="s">
        <v>289</v>
      </c>
      <c r="B175" t="s">
        <v>335</v>
      </c>
      <c r="C175" t="s">
        <v>553</v>
      </c>
      <c r="D175" t="s">
        <v>550</v>
      </c>
    </row>
    <row r="176" spans="1:4" x14ac:dyDescent="0.25">
      <c r="A176" t="s">
        <v>290</v>
      </c>
      <c r="B176" t="s">
        <v>336</v>
      </c>
      <c r="C176" t="s">
        <v>553</v>
      </c>
      <c r="D176" t="s">
        <v>550</v>
      </c>
    </row>
    <row r="177" spans="1:4" x14ac:dyDescent="0.25">
      <c r="A177" t="s">
        <v>291</v>
      </c>
      <c r="B177" t="s">
        <v>337</v>
      </c>
      <c r="C177" t="s">
        <v>553</v>
      </c>
      <c r="D177" t="s">
        <v>550</v>
      </c>
    </row>
    <row r="178" spans="1:4" x14ac:dyDescent="0.25">
      <c r="A178" t="s">
        <v>292</v>
      </c>
      <c r="B178" t="s">
        <v>338</v>
      </c>
      <c r="C178" t="s">
        <v>553</v>
      </c>
      <c r="D178" t="s">
        <v>550</v>
      </c>
    </row>
    <row r="179" spans="1:4" x14ac:dyDescent="0.25">
      <c r="A179" t="s">
        <v>293</v>
      </c>
      <c r="B179" t="s">
        <v>339</v>
      </c>
      <c r="C179" t="s">
        <v>553</v>
      </c>
      <c r="D179" t="s">
        <v>550</v>
      </c>
    </row>
    <row r="180" spans="1:4" x14ac:dyDescent="0.25">
      <c r="A180" t="s">
        <v>294</v>
      </c>
      <c r="B180" t="s">
        <v>340</v>
      </c>
      <c r="C180" t="s">
        <v>553</v>
      </c>
      <c r="D180" t="s">
        <v>550</v>
      </c>
    </row>
    <row r="181" spans="1:4" x14ac:dyDescent="0.25">
      <c r="A181" t="s">
        <v>295</v>
      </c>
      <c r="B181" t="s">
        <v>341</v>
      </c>
      <c r="C181" t="s">
        <v>553</v>
      </c>
      <c r="D181" t="s">
        <v>550</v>
      </c>
    </row>
    <row r="182" spans="1:4" x14ac:dyDescent="0.25">
      <c r="A182" t="s">
        <v>296</v>
      </c>
      <c r="B182" t="s">
        <v>342</v>
      </c>
      <c r="C182" t="s">
        <v>105</v>
      </c>
      <c r="D182" t="s">
        <v>550</v>
      </c>
    </row>
    <row r="183" spans="1:4" x14ac:dyDescent="0.25">
      <c r="A183" t="s">
        <v>297</v>
      </c>
      <c r="B183" t="s">
        <v>66</v>
      </c>
      <c r="C183" t="s">
        <v>105</v>
      </c>
      <c r="D183" t="s">
        <v>550</v>
      </c>
    </row>
    <row r="184" spans="1:4" x14ac:dyDescent="0.25">
      <c r="A184" t="s">
        <v>298</v>
      </c>
      <c r="B184" t="s">
        <v>197</v>
      </c>
      <c r="C184" t="s">
        <v>105</v>
      </c>
      <c r="D184" t="s">
        <v>550</v>
      </c>
    </row>
    <row r="185" spans="1:4" x14ac:dyDescent="0.25">
      <c r="A185" t="s">
        <v>299</v>
      </c>
      <c r="B185" t="s">
        <v>198</v>
      </c>
      <c r="C185" t="s">
        <v>105</v>
      </c>
      <c r="D185" t="s">
        <v>550</v>
      </c>
    </row>
    <row r="186" spans="1:4" x14ac:dyDescent="0.25">
      <c r="A186" t="s">
        <v>300</v>
      </c>
      <c r="B186" t="s">
        <v>343</v>
      </c>
      <c r="C186" t="s">
        <v>105</v>
      </c>
      <c r="D186" t="s">
        <v>550</v>
      </c>
    </row>
    <row r="187" spans="1:4" x14ac:dyDescent="0.25">
      <c r="A187" t="s">
        <v>301</v>
      </c>
      <c r="B187" t="s">
        <v>344</v>
      </c>
      <c r="C187" t="s">
        <v>105</v>
      </c>
      <c r="D187" t="s">
        <v>550</v>
      </c>
    </row>
    <row r="188" spans="1:4" x14ac:dyDescent="0.25">
      <c r="A188" t="s">
        <v>302</v>
      </c>
      <c r="B188" t="s">
        <v>345</v>
      </c>
      <c r="C188" t="s">
        <v>105</v>
      </c>
      <c r="D188" t="s">
        <v>550</v>
      </c>
    </row>
    <row r="189" spans="1:4" x14ac:dyDescent="0.25">
      <c r="A189" t="s">
        <v>303</v>
      </c>
      <c r="B189" t="s">
        <v>346</v>
      </c>
      <c r="C189" t="s">
        <v>105</v>
      </c>
      <c r="D189" t="s">
        <v>550</v>
      </c>
    </row>
    <row r="190" spans="1:4" x14ac:dyDescent="0.25">
      <c r="A190" t="s">
        <v>304</v>
      </c>
      <c r="B190" t="s">
        <v>347</v>
      </c>
      <c r="C190" t="s">
        <v>105</v>
      </c>
      <c r="D190" t="s">
        <v>550</v>
      </c>
    </row>
    <row r="191" spans="1:4" x14ac:dyDescent="0.25">
      <c r="A191" t="s">
        <v>305</v>
      </c>
      <c r="B191" t="s">
        <v>348</v>
      </c>
      <c r="C191" t="s">
        <v>105</v>
      </c>
      <c r="D191" t="s">
        <v>550</v>
      </c>
    </row>
    <row r="192" spans="1:4" x14ac:dyDescent="0.25">
      <c r="A192" t="s">
        <v>306</v>
      </c>
      <c r="B192" t="s">
        <v>349</v>
      </c>
      <c r="C192" t="s">
        <v>105</v>
      </c>
      <c r="D192" t="s">
        <v>550</v>
      </c>
    </row>
    <row r="193" spans="1:4" x14ac:dyDescent="0.25">
      <c r="A193" t="s">
        <v>307</v>
      </c>
      <c r="B193" t="s">
        <v>350</v>
      </c>
      <c r="C193" t="s">
        <v>105</v>
      </c>
      <c r="D193" t="s">
        <v>550</v>
      </c>
    </row>
    <row r="194" spans="1:4" x14ac:dyDescent="0.25">
      <c r="A194" t="s">
        <v>410</v>
      </c>
      <c r="B194" t="s">
        <v>185</v>
      </c>
      <c r="C194" t="s">
        <v>561</v>
      </c>
      <c r="D194" t="s">
        <v>550</v>
      </c>
    </row>
    <row r="195" spans="1:4" x14ac:dyDescent="0.25">
      <c r="A195" t="s">
        <v>411</v>
      </c>
      <c r="B195" t="s">
        <v>453</v>
      </c>
      <c r="C195" t="s">
        <v>561</v>
      </c>
      <c r="D195" t="s">
        <v>550</v>
      </c>
    </row>
    <row r="196" spans="1:4" x14ac:dyDescent="0.25">
      <c r="A196" t="s">
        <v>412</v>
      </c>
      <c r="B196" t="s">
        <v>454</v>
      </c>
      <c r="C196" t="s">
        <v>561</v>
      </c>
      <c r="D196" t="s">
        <v>550</v>
      </c>
    </row>
    <row r="197" spans="1:4" x14ac:dyDescent="0.25">
      <c r="A197" t="s">
        <v>413</v>
      </c>
      <c r="B197" t="s">
        <v>455</v>
      </c>
      <c r="C197" t="s">
        <v>561</v>
      </c>
      <c r="D197" t="s">
        <v>550</v>
      </c>
    </row>
    <row r="198" spans="1:4" x14ac:dyDescent="0.25">
      <c r="A198" t="s">
        <v>393</v>
      </c>
      <c r="B198" t="s">
        <v>437</v>
      </c>
      <c r="C198" t="s">
        <v>555</v>
      </c>
      <c r="D198" t="s">
        <v>550</v>
      </c>
    </row>
    <row r="199" spans="1:4" x14ac:dyDescent="0.25">
      <c r="A199" t="s">
        <v>394</v>
      </c>
      <c r="B199" t="s">
        <v>438</v>
      </c>
      <c r="C199" t="s">
        <v>555</v>
      </c>
      <c r="D199" t="s">
        <v>550</v>
      </c>
    </row>
    <row r="200" spans="1:4" x14ac:dyDescent="0.25">
      <c r="A200" t="s">
        <v>395</v>
      </c>
      <c r="B200" t="s">
        <v>439</v>
      </c>
      <c r="C200" t="s">
        <v>555</v>
      </c>
      <c r="D200" t="s">
        <v>550</v>
      </c>
    </row>
    <row r="201" spans="1:4" x14ac:dyDescent="0.25">
      <c r="A201" t="s">
        <v>396</v>
      </c>
      <c r="B201" t="s">
        <v>440</v>
      </c>
      <c r="C201" t="s">
        <v>555</v>
      </c>
      <c r="D201" t="s">
        <v>550</v>
      </c>
    </row>
    <row r="202" spans="1:4" x14ac:dyDescent="0.25">
      <c r="A202" t="s">
        <v>397</v>
      </c>
      <c r="B202" t="s">
        <v>441</v>
      </c>
      <c r="C202" t="s">
        <v>555</v>
      </c>
      <c r="D202" t="s">
        <v>550</v>
      </c>
    </row>
    <row r="203" spans="1:4" x14ac:dyDescent="0.25">
      <c r="A203" t="s">
        <v>398</v>
      </c>
      <c r="B203" t="s">
        <v>442</v>
      </c>
      <c r="C203" t="s">
        <v>555</v>
      </c>
      <c r="D203" t="s">
        <v>550</v>
      </c>
    </row>
    <row r="204" spans="1:4" x14ac:dyDescent="0.25">
      <c r="A204" t="s">
        <v>399</v>
      </c>
      <c r="B204" t="s">
        <v>443</v>
      </c>
      <c r="C204" t="s">
        <v>555</v>
      </c>
      <c r="D204" t="s">
        <v>550</v>
      </c>
    </row>
    <row r="205" spans="1:4" x14ac:dyDescent="0.25">
      <c r="A205" t="s">
        <v>405</v>
      </c>
      <c r="B205" t="s">
        <v>448</v>
      </c>
      <c r="C205" t="s">
        <v>559</v>
      </c>
      <c r="D205" t="s">
        <v>550</v>
      </c>
    </row>
    <row r="206" spans="1:4" x14ac:dyDescent="0.25">
      <c r="A206" t="s">
        <v>406</v>
      </c>
      <c r="B206" t="s">
        <v>449</v>
      </c>
      <c r="C206" t="s">
        <v>559</v>
      </c>
      <c r="D206" t="s">
        <v>550</v>
      </c>
    </row>
    <row r="207" spans="1:4" x14ac:dyDescent="0.25">
      <c r="A207" t="s">
        <v>407</v>
      </c>
      <c r="B207" t="s">
        <v>450</v>
      </c>
      <c r="C207" t="s">
        <v>559</v>
      </c>
      <c r="D207" t="s">
        <v>550</v>
      </c>
    </row>
    <row r="208" spans="1:4" x14ac:dyDescent="0.25">
      <c r="A208" t="s">
        <v>408</v>
      </c>
      <c r="B208" t="s">
        <v>451</v>
      </c>
      <c r="C208" t="s">
        <v>559</v>
      </c>
      <c r="D208" t="s">
        <v>550</v>
      </c>
    </row>
    <row r="209" spans="1:4" x14ac:dyDescent="0.25">
      <c r="A209" t="s">
        <v>409</v>
      </c>
      <c r="B209" t="s">
        <v>452</v>
      </c>
      <c r="C209" t="s">
        <v>559</v>
      </c>
      <c r="D209" t="s">
        <v>550</v>
      </c>
    </row>
    <row r="210" spans="1:4" x14ac:dyDescent="0.25">
      <c r="A210" t="s">
        <v>400</v>
      </c>
      <c r="B210" t="s">
        <v>444</v>
      </c>
      <c r="C210" t="s">
        <v>557</v>
      </c>
      <c r="D210" t="s">
        <v>550</v>
      </c>
    </row>
    <row r="211" spans="1:4" x14ac:dyDescent="0.25">
      <c r="A211" t="s">
        <v>401</v>
      </c>
      <c r="B211" t="s">
        <v>84</v>
      </c>
      <c r="C211" t="s">
        <v>557</v>
      </c>
      <c r="D211" t="s">
        <v>550</v>
      </c>
    </row>
    <row r="212" spans="1:4" x14ac:dyDescent="0.25">
      <c r="A212" t="s">
        <v>402</v>
      </c>
      <c r="B212" t="s">
        <v>445</v>
      </c>
      <c r="C212" t="s">
        <v>557</v>
      </c>
      <c r="D212" t="s">
        <v>550</v>
      </c>
    </row>
    <row r="213" spans="1:4" x14ac:dyDescent="0.25">
      <c r="A213" t="s">
        <v>403</v>
      </c>
      <c r="B213" t="s">
        <v>446</v>
      </c>
      <c r="C213" t="s">
        <v>557</v>
      </c>
      <c r="D213" t="s">
        <v>550</v>
      </c>
    </row>
    <row r="214" spans="1:4" x14ac:dyDescent="0.25">
      <c r="A214" t="s">
        <v>404</v>
      </c>
      <c r="B214" t="s">
        <v>447</v>
      </c>
      <c r="C214" t="s">
        <v>557</v>
      </c>
      <c r="D214" t="s">
        <v>550</v>
      </c>
    </row>
    <row r="215" spans="1:4" x14ac:dyDescent="0.25">
      <c r="A215" t="s">
        <v>369</v>
      </c>
      <c r="B215" t="s">
        <v>418</v>
      </c>
      <c r="C215" t="s">
        <v>553</v>
      </c>
      <c r="D215" t="s">
        <v>550</v>
      </c>
    </row>
    <row r="216" spans="1:4" x14ac:dyDescent="0.25">
      <c r="A216" t="s">
        <v>370</v>
      </c>
      <c r="B216" t="s">
        <v>419</v>
      </c>
      <c r="C216" t="s">
        <v>553</v>
      </c>
      <c r="D216" t="s">
        <v>550</v>
      </c>
    </row>
    <row r="217" spans="1:4" x14ac:dyDescent="0.25">
      <c r="A217" t="s">
        <v>371</v>
      </c>
      <c r="B217" t="s">
        <v>192</v>
      </c>
      <c r="C217" t="s">
        <v>553</v>
      </c>
      <c r="D217" t="s">
        <v>550</v>
      </c>
    </row>
    <row r="218" spans="1:4" x14ac:dyDescent="0.25">
      <c r="A218" t="s">
        <v>372</v>
      </c>
      <c r="B218" t="s">
        <v>420</v>
      </c>
      <c r="C218" t="s">
        <v>553</v>
      </c>
      <c r="D218" t="s">
        <v>550</v>
      </c>
    </row>
    <row r="219" spans="1:4" x14ac:dyDescent="0.25">
      <c r="A219" t="s">
        <v>373</v>
      </c>
      <c r="B219" t="s">
        <v>334</v>
      </c>
      <c r="C219" t="s">
        <v>553</v>
      </c>
      <c r="D219" t="s">
        <v>550</v>
      </c>
    </row>
    <row r="220" spans="1:4" x14ac:dyDescent="0.25">
      <c r="A220" t="s">
        <v>374</v>
      </c>
      <c r="B220" t="s">
        <v>421</v>
      </c>
      <c r="C220" t="s">
        <v>553</v>
      </c>
      <c r="D220" t="s">
        <v>550</v>
      </c>
    </row>
    <row r="221" spans="1:4" x14ac:dyDescent="0.25">
      <c r="A221" t="s">
        <v>375</v>
      </c>
      <c r="B221" t="s">
        <v>422</v>
      </c>
      <c r="C221" t="s">
        <v>553</v>
      </c>
      <c r="D221" t="s">
        <v>550</v>
      </c>
    </row>
    <row r="222" spans="1:4" x14ac:dyDescent="0.25">
      <c r="A222" t="s">
        <v>376</v>
      </c>
      <c r="B222" t="s">
        <v>423</v>
      </c>
      <c r="C222" t="s">
        <v>553</v>
      </c>
      <c r="D222" t="s">
        <v>550</v>
      </c>
    </row>
    <row r="223" spans="1:4" x14ac:dyDescent="0.25">
      <c r="A223" t="s">
        <v>377</v>
      </c>
      <c r="B223" t="s">
        <v>424</v>
      </c>
      <c r="C223" t="s">
        <v>553</v>
      </c>
      <c r="D223" t="s">
        <v>550</v>
      </c>
    </row>
    <row r="224" spans="1:4" x14ac:dyDescent="0.25">
      <c r="A224" t="s">
        <v>378</v>
      </c>
      <c r="B224" t="s">
        <v>425</v>
      </c>
      <c r="C224" t="s">
        <v>553</v>
      </c>
      <c r="D224" t="s">
        <v>550</v>
      </c>
    </row>
    <row r="225" spans="1:4" x14ac:dyDescent="0.25">
      <c r="A225" t="s">
        <v>379</v>
      </c>
      <c r="B225" t="s">
        <v>426</v>
      </c>
      <c r="C225" t="s">
        <v>553</v>
      </c>
      <c r="D225" t="s">
        <v>550</v>
      </c>
    </row>
    <row r="226" spans="1:4" x14ac:dyDescent="0.25">
      <c r="A226" t="s">
        <v>380</v>
      </c>
      <c r="B226" t="s">
        <v>427</v>
      </c>
      <c r="C226" t="s">
        <v>553</v>
      </c>
      <c r="D226" t="s">
        <v>550</v>
      </c>
    </row>
    <row r="227" spans="1:4" x14ac:dyDescent="0.25">
      <c r="A227" t="s">
        <v>381</v>
      </c>
      <c r="B227" t="s">
        <v>428</v>
      </c>
      <c r="C227" t="s">
        <v>105</v>
      </c>
      <c r="D227" t="s">
        <v>550</v>
      </c>
    </row>
    <row r="228" spans="1:4" x14ac:dyDescent="0.25">
      <c r="A228" t="s">
        <v>382</v>
      </c>
      <c r="B228" t="s">
        <v>66</v>
      </c>
      <c r="C228" t="s">
        <v>105</v>
      </c>
      <c r="D228" t="s">
        <v>550</v>
      </c>
    </row>
    <row r="229" spans="1:4" x14ac:dyDescent="0.25">
      <c r="A229" t="s">
        <v>383</v>
      </c>
      <c r="B229" t="s">
        <v>197</v>
      </c>
      <c r="C229" t="s">
        <v>105</v>
      </c>
      <c r="D229" t="s">
        <v>550</v>
      </c>
    </row>
    <row r="230" spans="1:4" x14ac:dyDescent="0.25">
      <c r="A230" t="s">
        <v>384</v>
      </c>
      <c r="B230" t="s">
        <v>429</v>
      </c>
      <c r="C230" t="s">
        <v>105</v>
      </c>
      <c r="D230" t="s">
        <v>550</v>
      </c>
    </row>
    <row r="231" spans="1:4" x14ac:dyDescent="0.25">
      <c r="A231" t="s">
        <v>385</v>
      </c>
      <c r="B231" t="s">
        <v>430</v>
      </c>
      <c r="C231" t="s">
        <v>105</v>
      </c>
      <c r="D231" t="s">
        <v>550</v>
      </c>
    </row>
    <row r="232" spans="1:4" x14ac:dyDescent="0.25">
      <c r="A232" t="s">
        <v>386</v>
      </c>
      <c r="B232" t="s">
        <v>431</v>
      </c>
      <c r="C232" t="s">
        <v>105</v>
      </c>
      <c r="D232" t="s">
        <v>550</v>
      </c>
    </row>
    <row r="233" spans="1:4" x14ac:dyDescent="0.25">
      <c r="A233" t="s">
        <v>387</v>
      </c>
      <c r="B233" t="s">
        <v>432</v>
      </c>
      <c r="C233" t="s">
        <v>105</v>
      </c>
      <c r="D233" t="s">
        <v>550</v>
      </c>
    </row>
    <row r="234" spans="1:4" x14ac:dyDescent="0.25">
      <c r="A234" t="s">
        <v>388</v>
      </c>
      <c r="B234" t="s">
        <v>433</v>
      </c>
      <c r="C234" t="s">
        <v>105</v>
      </c>
      <c r="D234" t="s">
        <v>550</v>
      </c>
    </row>
    <row r="235" spans="1:4" x14ac:dyDescent="0.25">
      <c r="A235" t="s">
        <v>389</v>
      </c>
      <c r="B235" t="s">
        <v>434</v>
      </c>
      <c r="C235" t="s">
        <v>105</v>
      </c>
      <c r="D235" t="s">
        <v>550</v>
      </c>
    </row>
    <row r="236" spans="1:4" x14ac:dyDescent="0.25">
      <c r="A236" t="s">
        <v>390</v>
      </c>
      <c r="B236" t="s">
        <v>435</v>
      </c>
      <c r="C236" t="s">
        <v>105</v>
      </c>
      <c r="D236" t="s">
        <v>550</v>
      </c>
    </row>
    <row r="237" spans="1:4" x14ac:dyDescent="0.25">
      <c r="A237" t="s">
        <v>391</v>
      </c>
      <c r="B237" t="s">
        <v>350</v>
      </c>
      <c r="C237" t="s">
        <v>105</v>
      </c>
      <c r="D237" t="s">
        <v>550</v>
      </c>
    </row>
    <row r="238" spans="1:4" x14ac:dyDescent="0.25">
      <c r="A238" t="s">
        <v>392</v>
      </c>
      <c r="B238" t="s">
        <v>436</v>
      </c>
      <c r="C238" t="s">
        <v>105</v>
      </c>
      <c r="D238" t="s">
        <v>550</v>
      </c>
    </row>
    <row r="239" spans="1:4" x14ac:dyDescent="0.25">
      <c r="A239" t="s">
        <v>501</v>
      </c>
      <c r="B239" t="s">
        <v>185</v>
      </c>
      <c r="C239" t="s">
        <v>561</v>
      </c>
      <c r="D239" t="s">
        <v>550</v>
      </c>
    </row>
    <row r="240" spans="1:4" x14ac:dyDescent="0.25">
      <c r="A240" t="s">
        <v>502</v>
      </c>
      <c r="B240" t="s">
        <v>544</v>
      </c>
      <c r="C240" t="s">
        <v>561</v>
      </c>
      <c r="D240" t="s">
        <v>550</v>
      </c>
    </row>
    <row r="241" spans="1:4" x14ac:dyDescent="0.25">
      <c r="A241" t="s">
        <v>503</v>
      </c>
      <c r="B241" t="s">
        <v>222</v>
      </c>
      <c r="C241" t="s">
        <v>561</v>
      </c>
      <c r="D241" t="s">
        <v>550</v>
      </c>
    </row>
    <row r="242" spans="1:4" x14ac:dyDescent="0.25">
      <c r="A242" t="s">
        <v>483</v>
      </c>
      <c r="B242" t="s">
        <v>529</v>
      </c>
      <c r="C242" t="s">
        <v>555</v>
      </c>
      <c r="D242" t="s">
        <v>550</v>
      </c>
    </row>
    <row r="243" spans="1:4" x14ac:dyDescent="0.25">
      <c r="A243" t="s">
        <v>484</v>
      </c>
      <c r="B243" t="s">
        <v>530</v>
      </c>
      <c r="C243" t="s">
        <v>555</v>
      </c>
      <c r="D243" t="s">
        <v>550</v>
      </c>
    </row>
    <row r="244" spans="1:4" x14ac:dyDescent="0.25">
      <c r="A244" t="s">
        <v>485</v>
      </c>
      <c r="B244" t="s">
        <v>531</v>
      </c>
      <c r="C244" t="s">
        <v>555</v>
      </c>
      <c r="D244" t="s">
        <v>550</v>
      </c>
    </row>
    <row r="245" spans="1:4" x14ac:dyDescent="0.25">
      <c r="A245" t="s">
        <v>486</v>
      </c>
      <c r="B245" t="s">
        <v>532</v>
      </c>
      <c r="C245" t="s">
        <v>555</v>
      </c>
      <c r="D245" t="s">
        <v>550</v>
      </c>
    </row>
    <row r="246" spans="1:4" x14ac:dyDescent="0.25">
      <c r="A246" t="s">
        <v>487</v>
      </c>
      <c r="B246" t="s">
        <v>533</v>
      </c>
      <c r="C246" t="s">
        <v>555</v>
      </c>
      <c r="D246" t="s">
        <v>550</v>
      </c>
    </row>
    <row r="247" spans="1:4" x14ac:dyDescent="0.25">
      <c r="A247" t="s">
        <v>488</v>
      </c>
      <c r="B247" t="s">
        <v>534</v>
      </c>
      <c r="C247" t="s">
        <v>555</v>
      </c>
      <c r="D247" t="s">
        <v>550</v>
      </c>
    </row>
    <row r="248" spans="1:4" x14ac:dyDescent="0.25">
      <c r="A248" t="s">
        <v>489</v>
      </c>
      <c r="B248" t="s">
        <v>535</v>
      </c>
      <c r="C248" t="s">
        <v>555</v>
      </c>
      <c r="D248" t="s">
        <v>550</v>
      </c>
    </row>
    <row r="249" spans="1:4" x14ac:dyDescent="0.25">
      <c r="A249" t="s">
        <v>490</v>
      </c>
      <c r="B249" t="s">
        <v>536</v>
      </c>
      <c r="C249" t="s">
        <v>555</v>
      </c>
      <c r="D249" t="s">
        <v>550</v>
      </c>
    </row>
    <row r="250" spans="1:4" x14ac:dyDescent="0.25">
      <c r="A250" t="s">
        <v>496</v>
      </c>
      <c r="B250" t="s">
        <v>542</v>
      </c>
      <c r="C250" t="s">
        <v>559</v>
      </c>
      <c r="D250" t="s">
        <v>550</v>
      </c>
    </row>
    <row r="251" spans="1:4" x14ac:dyDescent="0.25">
      <c r="A251" t="s">
        <v>497</v>
      </c>
      <c r="B251" t="s">
        <v>91</v>
      </c>
      <c r="C251" t="s">
        <v>559</v>
      </c>
      <c r="D251" t="s">
        <v>550</v>
      </c>
    </row>
    <row r="252" spans="1:4" x14ac:dyDescent="0.25">
      <c r="A252" t="s">
        <v>498</v>
      </c>
      <c r="B252" t="s">
        <v>450</v>
      </c>
      <c r="C252" t="s">
        <v>559</v>
      </c>
      <c r="D252" t="s">
        <v>550</v>
      </c>
    </row>
    <row r="253" spans="1:4" x14ac:dyDescent="0.25">
      <c r="A253" t="s">
        <v>499</v>
      </c>
      <c r="B253" t="s">
        <v>543</v>
      </c>
      <c r="C253" t="s">
        <v>559</v>
      </c>
      <c r="D253" t="s">
        <v>550</v>
      </c>
    </row>
    <row r="254" spans="1:4" x14ac:dyDescent="0.25">
      <c r="A254" t="s">
        <v>500</v>
      </c>
      <c r="B254" t="s">
        <v>363</v>
      </c>
      <c r="C254" t="s">
        <v>559</v>
      </c>
      <c r="D254" t="s">
        <v>550</v>
      </c>
    </row>
    <row r="255" spans="1:4" x14ac:dyDescent="0.25">
      <c r="A255" t="s">
        <v>491</v>
      </c>
      <c r="B255" t="s">
        <v>537</v>
      </c>
      <c r="C255" t="s">
        <v>557</v>
      </c>
      <c r="D255" t="s">
        <v>550</v>
      </c>
    </row>
    <row r="256" spans="1:4" x14ac:dyDescent="0.25">
      <c r="A256" t="s">
        <v>492</v>
      </c>
      <c r="B256" t="s">
        <v>538</v>
      </c>
      <c r="C256" t="s">
        <v>557</v>
      </c>
      <c r="D256" t="s">
        <v>550</v>
      </c>
    </row>
    <row r="257" spans="1:4" x14ac:dyDescent="0.25">
      <c r="A257" t="s">
        <v>493</v>
      </c>
      <c r="B257" t="s">
        <v>539</v>
      </c>
      <c r="C257" t="s">
        <v>557</v>
      </c>
      <c r="D257" t="s">
        <v>550</v>
      </c>
    </row>
    <row r="258" spans="1:4" x14ac:dyDescent="0.25">
      <c r="A258" t="s">
        <v>494</v>
      </c>
      <c r="B258" t="s">
        <v>540</v>
      </c>
      <c r="C258" t="s">
        <v>557</v>
      </c>
      <c r="D258" t="s">
        <v>550</v>
      </c>
    </row>
    <row r="259" spans="1:4" x14ac:dyDescent="0.25">
      <c r="A259" t="s">
        <v>495</v>
      </c>
      <c r="B259" t="s">
        <v>541</v>
      </c>
      <c r="C259" t="s">
        <v>557</v>
      </c>
      <c r="D259" t="s">
        <v>550</v>
      </c>
    </row>
    <row r="260" spans="1:4" x14ac:dyDescent="0.25">
      <c r="A260" t="s">
        <v>459</v>
      </c>
      <c r="B260" t="s">
        <v>509</v>
      </c>
      <c r="C260" t="s">
        <v>553</v>
      </c>
      <c r="D260" t="s">
        <v>550</v>
      </c>
    </row>
    <row r="261" spans="1:4" x14ac:dyDescent="0.25">
      <c r="A261" t="s">
        <v>460</v>
      </c>
      <c r="B261" t="s">
        <v>54</v>
      </c>
      <c r="C261" t="s">
        <v>553</v>
      </c>
      <c r="D261" t="s">
        <v>550</v>
      </c>
    </row>
    <row r="262" spans="1:4" x14ac:dyDescent="0.25">
      <c r="A262" t="s">
        <v>461</v>
      </c>
      <c r="B262" t="s">
        <v>192</v>
      </c>
      <c r="C262" t="s">
        <v>553</v>
      </c>
      <c r="D262" t="s">
        <v>550</v>
      </c>
    </row>
    <row r="263" spans="1:4" x14ac:dyDescent="0.25">
      <c r="A263" t="s">
        <v>462</v>
      </c>
      <c r="B263" t="s">
        <v>510</v>
      </c>
      <c r="C263" t="s">
        <v>553</v>
      </c>
      <c r="D263" t="s">
        <v>550</v>
      </c>
    </row>
    <row r="264" spans="1:4" x14ac:dyDescent="0.25">
      <c r="A264" t="s">
        <v>463</v>
      </c>
      <c r="B264" t="s">
        <v>511</v>
      </c>
      <c r="C264" t="s">
        <v>553</v>
      </c>
      <c r="D264" t="s">
        <v>550</v>
      </c>
    </row>
    <row r="265" spans="1:4" x14ac:dyDescent="0.25">
      <c r="A265" t="s">
        <v>464</v>
      </c>
      <c r="B265" t="s">
        <v>512</v>
      </c>
      <c r="C265" t="s">
        <v>553</v>
      </c>
      <c r="D265" t="s">
        <v>550</v>
      </c>
    </row>
    <row r="266" spans="1:4" x14ac:dyDescent="0.25">
      <c r="A266" t="s">
        <v>465</v>
      </c>
      <c r="B266" t="s">
        <v>421</v>
      </c>
      <c r="C266" t="s">
        <v>553</v>
      </c>
      <c r="D266" t="s">
        <v>550</v>
      </c>
    </row>
    <row r="267" spans="1:4" x14ac:dyDescent="0.25">
      <c r="A267" t="s">
        <v>466</v>
      </c>
      <c r="B267" t="s">
        <v>513</v>
      </c>
      <c r="C267" t="s">
        <v>553</v>
      </c>
      <c r="D267" t="s">
        <v>550</v>
      </c>
    </row>
    <row r="268" spans="1:4" x14ac:dyDescent="0.25">
      <c r="A268" t="s">
        <v>467</v>
      </c>
      <c r="B268" t="s">
        <v>514</v>
      </c>
      <c r="C268" t="s">
        <v>553</v>
      </c>
      <c r="D268" t="s">
        <v>550</v>
      </c>
    </row>
    <row r="269" spans="1:4" x14ac:dyDescent="0.25">
      <c r="A269" t="s">
        <v>468</v>
      </c>
      <c r="B269" t="s">
        <v>515</v>
      </c>
      <c r="C269" t="s">
        <v>553</v>
      </c>
      <c r="D269" t="s">
        <v>550</v>
      </c>
    </row>
    <row r="270" spans="1:4" x14ac:dyDescent="0.25">
      <c r="A270" t="s">
        <v>469</v>
      </c>
      <c r="B270" t="s">
        <v>516</v>
      </c>
      <c r="C270" t="s">
        <v>553</v>
      </c>
      <c r="D270" t="s">
        <v>550</v>
      </c>
    </row>
    <row r="271" spans="1:4" x14ac:dyDescent="0.25">
      <c r="A271" t="s">
        <v>470</v>
      </c>
      <c r="B271" t="s">
        <v>517</v>
      </c>
      <c r="C271" t="s">
        <v>553</v>
      </c>
      <c r="D271" t="s">
        <v>550</v>
      </c>
    </row>
    <row r="272" spans="1:4" x14ac:dyDescent="0.25">
      <c r="A272" t="s">
        <v>471</v>
      </c>
      <c r="B272" t="s">
        <v>518</v>
      </c>
      <c r="C272" t="s">
        <v>105</v>
      </c>
      <c r="D272" t="s">
        <v>550</v>
      </c>
    </row>
    <row r="273" spans="1:4" x14ac:dyDescent="0.25">
      <c r="A273" t="s">
        <v>472</v>
      </c>
      <c r="B273" t="s">
        <v>519</v>
      </c>
      <c r="C273" t="s">
        <v>105</v>
      </c>
      <c r="D273" t="s">
        <v>550</v>
      </c>
    </row>
    <row r="274" spans="1:4" x14ac:dyDescent="0.25">
      <c r="A274" t="s">
        <v>473</v>
      </c>
      <c r="B274" t="s">
        <v>520</v>
      </c>
      <c r="C274" t="s">
        <v>105</v>
      </c>
      <c r="D274" t="s">
        <v>550</v>
      </c>
    </row>
    <row r="275" spans="1:4" x14ac:dyDescent="0.25">
      <c r="A275" t="s">
        <v>474</v>
      </c>
      <c r="B275" t="s">
        <v>521</v>
      </c>
      <c r="C275" t="s">
        <v>105</v>
      </c>
      <c r="D275" t="s">
        <v>550</v>
      </c>
    </row>
    <row r="276" spans="1:4" x14ac:dyDescent="0.25">
      <c r="A276" t="s">
        <v>475</v>
      </c>
      <c r="B276" t="s">
        <v>522</v>
      </c>
      <c r="C276" t="s">
        <v>105</v>
      </c>
      <c r="D276" t="s">
        <v>550</v>
      </c>
    </row>
    <row r="277" spans="1:4" x14ac:dyDescent="0.25">
      <c r="A277" t="s">
        <v>476</v>
      </c>
      <c r="B277" t="s">
        <v>523</v>
      </c>
      <c r="C277" t="s">
        <v>105</v>
      </c>
      <c r="D277" t="s">
        <v>550</v>
      </c>
    </row>
    <row r="278" spans="1:4" x14ac:dyDescent="0.25">
      <c r="A278" t="s">
        <v>477</v>
      </c>
      <c r="B278" t="s">
        <v>524</v>
      </c>
      <c r="C278" t="s">
        <v>105</v>
      </c>
      <c r="D278" t="s">
        <v>550</v>
      </c>
    </row>
    <row r="279" spans="1:4" x14ac:dyDescent="0.25">
      <c r="A279" t="s">
        <v>478</v>
      </c>
      <c r="B279" t="s">
        <v>525</v>
      </c>
      <c r="C279" t="s">
        <v>105</v>
      </c>
      <c r="D279" t="s">
        <v>550</v>
      </c>
    </row>
    <row r="280" spans="1:4" x14ac:dyDescent="0.25">
      <c r="A280" t="s">
        <v>479</v>
      </c>
      <c r="B280" t="s">
        <v>526</v>
      </c>
      <c r="C280" t="s">
        <v>105</v>
      </c>
      <c r="D280" t="s">
        <v>550</v>
      </c>
    </row>
    <row r="281" spans="1:4" x14ac:dyDescent="0.25">
      <c r="A281" t="s">
        <v>480</v>
      </c>
      <c r="B281" t="s">
        <v>350</v>
      </c>
      <c r="C281" t="s">
        <v>105</v>
      </c>
      <c r="D281" t="s">
        <v>550</v>
      </c>
    </row>
    <row r="282" spans="1:4" x14ac:dyDescent="0.25">
      <c r="A282" t="s">
        <v>481</v>
      </c>
      <c r="B282" t="s">
        <v>527</v>
      </c>
      <c r="C282" t="s">
        <v>105</v>
      </c>
      <c r="D282" t="s">
        <v>550</v>
      </c>
    </row>
    <row r="283" spans="1:4" x14ac:dyDescent="0.25">
      <c r="A283" t="s">
        <v>482</v>
      </c>
      <c r="B283" t="s">
        <v>528</v>
      </c>
      <c r="C283" t="s">
        <v>105</v>
      </c>
      <c r="D283" t="s">
        <v>550</v>
      </c>
    </row>
    <row r="284" spans="1:4" x14ac:dyDescent="0.25">
      <c r="A284" t="s">
        <v>604</v>
      </c>
      <c r="B284" t="s">
        <v>185</v>
      </c>
      <c r="C284" t="s">
        <v>561</v>
      </c>
      <c r="D284" t="s">
        <v>550</v>
      </c>
    </row>
    <row r="285" spans="1:4" x14ac:dyDescent="0.25">
      <c r="A285" t="s">
        <v>605</v>
      </c>
      <c r="B285" t="s">
        <v>544</v>
      </c>
      <c r="C285" t="s">
        <v>561</v>
      </c>
      <c r="D285" t="s">
        <v>550</v>
      </c>
    </row>
    <row r="286" spans="1:4" x14ac:dyDescent="0.25">
      <c r="A286" t="s">
        <v>606</v>
      </c>
      <c r="B286" t="s">
        <v>642</v>
      </c>
      <c r="C286" t="s">
        <v>561</v>
      </c>
      <c r="D286" t="s">
        <v>550</v>
      </c>
    </row>
    <row r="287" spans="1:4" x14ac:dyDescent="0.25">
      <c r="A287" t="s">
        <v>607</v>
      </c>
      <c r="B287" t="s">
        <v>545</v>
      </c>
      <c r="C287" t="s">
        <v>561</v>
      </c>
      <c r="D287" t="s">
        <v>550</v>
      </c>
    </row>
    <row r="288" spans="1:4" x14ac:dyDescent="0.25">
      <c r="A288" t="s">
        <v>587</v>
      </c>
      <c r="B288" t="s">
        <v>630</v>
      </c>
      <c r="C288" t="s">
        <v>555</v>
      </c>
      <c r="D288" t="s">
        <v>550</v>
      </c>
    </row>
    <row r="289" spans="1:4" x14ac:dyDescent="0.25">
      <c r="A289" t="s">
        <v>588</v>
      </c>
      <c r="B289" t="s">
        <v>351</v>
      </c>
      <c r="C289" t="s">
        <v>555</v>
      </c>
      <c r="D289" t="s">
        <v>550</v>
      </c>
    </row>
    <row r="290" spans="1:4" x14ac:dyDescent="0.25">
      <c r="A290" t="s">
        <v>589</v>
      </c>
      <c r="B290" t="s">
        <v>631</v>
      </c>
      <c r="C290" t="s">
        <v>555</v>
      </c>
      <c r="D290" t="s">
        <v>550</v>
      </c>
    </row>
    <row r="291" spans="1:4" x14ac:dyDescent="0.25">
      <c r="A291" t="s">
        <v>590</v>
      </c>
      <c r="B291" t="s">
        <v>632</v>
      </c>
      <c r="C291" t="s">
        <v>555</v>
      </c>
      <c r="D291" t="s">
        <v>550</v>
      </c>
    </row>
    <row r="292" spans="1:4" x14ac:dyDescent="0.25">
      <c r="A292" t="s">
        <v>591</v>
      </c>
      <c r="B292" t="s">
        <v>633</v>
      </c>
      <c r="C292" t="s">
        <v>555</v>
      </c>
      <c r="D292" t="s">
        <v>550</v>
      </c>
    </row>
    <row r="293" spans="1:4" x14ac:dyDescent="0.25">
      <c r="A293" t="s">
        <v>592</v>
      </c>
      <c r="B293" t="s">
        <v>634</v>
      </c>
      <c r="C293" t="s">
        <v>555</v>
      </c>
      <c r="D293" t="s">
        <v>550</v>
      </c>
    </row>
    <row r="294" spans="1:4" x14ac:dyDescent="0.25">
      <c r="A294" t="s">
        <v>593</v>
      </c>
      <c r="B294" t="s">
        <v>635</v>
      </c>
      <c r="C294" t="s">
        <v>555</v>
      </c>
      <c r="D294" t="s">
        <v>550</v>
      </c>
    </row>
    <row r="295" spans="1:4" x14ac:dyDescent="0.25">
      <c r="A295" t="s">
        <v>599</v>
      </c>
      <c r="B295" t="s">
        <v>542</v>
      </c>
      <c r="C295" t="s">
        <v>559</v>
      </c>
      <c r="D295" t="s">
        <v>550</v>
      </c>
    </row>
    <row r="296" spans="1:4" x14ac:dyDescent="0.25">
      <c r="A296" t="s">
        <v>600</v>
      </c>
      <c r="B296" t="s">
        <v>640</v>
      </c>
      <c r="C296" t="s">
        <v>559</v>
      </c>
      <c r="D296" t="s">
        <v>550</v>
      </c>
    </row>
    <row r="297" spans="1:4" x14ac:dyDescent="0.25">
      <c r="A297" t="s">
        <v>601</v>
      </c>
      <c r="B297" t="s">
        <v>641</v>
      </c>
      <c r="C297" t="s">
        <v>559</v>
      </c>
      <c r="D297" t="s">
        <v>550</v>
      </c>
    </row>
    <row r="298" spans="1:4" x14ac:dyDescent="0.25">
      <c r="A298" t="s">
        <v>602</v>
      </c>
      <c r="B298" t="s">
        <v>543</v>
      </c>
      <c r="C298" t="s">
        <v>559</v>
      </c>
      <c r="D298" t="s">
        <v>550</v>
      </c>
    </row>
    <row r="299" spans="1:4" x14ac:dyDescent="0.25">
      <c r="A299" t="s">
        <v>603</v>
      </c>
      <c r="B299" t="s">
        <v>363</v>
      </c>
      <c r="C299" t="s">
        <v>559</v>
      </c>
      <c r="D299" t="s">
        <v>550</v>
      </c>
    </row>
    <row r="300" spans="1:4" x14ac:dyDescent="0.25">
      <c r="A300" t="s">
        <v>594</v>
      </c>
      <c r="B300" t="s">
        <v>636</v>
      </c>
      <c r="C300" t="s">
        <v>557</v>
      </c>
      <c r="D300" t="s">
        <v>550</v>
      </c>
    </row>
    <row r="301" spans="1:4" x14ac:dyDescent="0.25">
      <c r="A301" t="s">
        <v>595</v>
      </c>
      <c r="B301" t="s">
        <v>637</v>
      </c>
      <c r="C301" t="s">
        <v>557</v>
      </c>
      <c r="D301" t="s">
        <v>550</v>
      </c>
    </row>
    <row r="302" spans="1:4" x14ac:dyDescent="0.25">
      <c r="A302" t="s">
        <v>596</v>
      </c>
      <c r="B302" t="s">
        <v>638</v>
      </c>
      <c r="C302" t="s">
        <v>557</v>
      </c>
      <c r="D302" t="s">
        <v>550</v>
      </c>
    </row>
    <row r="303" spans="1:4" x14ac:dyDescent="0.25">
      <c r="A303" t="s">
        <v>597</v>
      </c>
      <c r="B303" t="s">
        <v>639</v>
      </c>
      <c r="C303" t="s">
        <v>557</v>
      </c>
      <c r="D303" t="s">
        <v>550</v>
      </c>
    </row>
    <row r="304" spans="1:4" x14ac:dyDescent="0.25">
      <c r="A304" t="s">
        <v>598</v>
      </c>
      <c r="B304" t="s">
        <v>215</v>
      </c>
      <c r="C304" t="s">
        <v>557</v>
      </c>
      <c r="D304" t="s">
        <v>550</v>
      </c>
    </row>
    <row r="305" spans="1:4" x14ac:dyDescent="0.25">
      <c r="A305" t="s">
        <v>563</v>
      </c>
      <c r="B305" t="s">
        <v>612</v>
      </c>
      <c r="C305" t="s">
        <v>553</v>
      </c>
      <c r="D305" t="s">
        <v>550</v>
      </c>
    </row>
    <row r="306" spans="1:4" x14ac:dyDescent="0.25">
      <c r="A306" t="s">
        <v>564</v>
      </c>
      <c r="B306" t="s">
        <v>419</v>
      </c>
      <c r="C306" t="s">
        <v>553</v>
      </c>
      <c r="D306" t="s">
        <v>550</v>
      </c>
    </row>
    <row r="307" spans="1:4" x14ac:dyDescent="0.25">
      <c r="A307" t="s">
        <v>565</v>
      </c>
      <c r="B307" t="s">
        <v>192</v>
      </c>
      <c r="C307" t="s">
        <v>553</v>
      </c>
      <c r="D307" t="s">
        <v>550</v>
      </c>
    </row>
    <row r="308" spans="1:4" x14ac:dyDescent="0.25">
      <c r="A308" t="s">
        <v>566</v>
      </c>
      <c r="B308" t="s">
        <v>613</v>
      </c>
      <c r="C308" t="s">
        <v>553</v>
      </c>
      <c r="D308" t="s">
        <v>550</v>
      </c>
    </row>
    <row r="309" spans="1:4" x14ac:dyDescent="0.25">
      <c r="A309" t="s">
        <v>567</v>
      </c>
      <c r="B309" t="s">
        <v>614</v>
      </c>
      <c r="C309" t="s">
        <v>553</v>
      </c>
      <c r="D309" t="s">
        <v>550</v>
      </c>
    </row>
    <row r="310" spans="1:4" x14ac:dyDescent="0.25">
      <c r="A310" t="s">
        <v>568</v>
      </c>
      <c r="B310" t="s">
        <v>615</v>
      </c>
      <c r="C310" t="s">
        <v>553</v>
      </c>
      <c r="D310" t="s">
        <v>550</v>
      </c>
    </row>
    <row r="311" spans="1:4" x14ac:dyDescent="0.25">
      <c r="A311" t="s">
        <v>569</v>
      </c>
      <c r="B311" t="s">
        <v>616</v>
      </c>
      <c r="C311" t="s">
        <v>553</v>
      </c>
      <c r="D311" t="s">
        <v>550</v>
      </c>
    </row>
    <row r="312" spans="1:4" x14ac:dyDescent="0.25">
      <c r="A312" t="s">
        <v>570</v>
      </c>
      <c r="B312" t="s">
        <v>617</v>
      </c>
      <c r="C312" t="s">
        <v>553</v>
      </c>
      <c r="D312" t="s">
        <v>550</v>
      </c>
    </row>
    <row r="313" spans="1:4" x14ac:dyDescent="0.25">
      <c r="A313" t="s">
        <v>571</v>
      </c>
      <c r="B313" t="s">
        <v>618</v>
      </c>
      <c r="C313" t="s">
        <v>553</v>
      </c>
      <c r="D313" t="s">
        <v>550</v>
      </c>
    </row>
    <row r="314" spans="1:4" x14ac:dyDescent="0.25">
      <c r="A314" t="s">
        <v>572</v>
      </c>
      <c r="B314" t="s">
        <v>619</v>
      </c>
      <c r="C314" t="s">
        <v>553</v>
      </c>
      <c r="D314" t="s">
        <v>550</v>
      </c>
    </row>
    <row r="315" spans="1:4" x14ac:dyDescent="0.25">
      <c r="A315" t="s">
        <v>573</v>
      </c>
      <c r="B315" t="s">
        <v>620</v>
      </c>
      <c r="C315" t="s">
        <v>553</v>
      </c>
      <c r="D315" t="s">
        <v>550</v>
      </c>
    </row>
    <row r="316" spans="1:4" x14ac:dyDescent="0.25">
      <c r="A316" t="s">
        <v>574</v>
      </c>
      <c r="B316" t="s">
        <v>621</v>
      </c>
      <c r="C316" t="s">
        <v>553</v>
      </c>
      <c r="D316" t="s">
        <v>550</v>
      </c>
    </row>
    <row r="317" spans="1:4" x14ac:dyDescent="0.25">
      <c r="A317" t="s">
        <v>575</v>
      </c>
      <c r="B317" t="s">
        <v>622</v>
      </c>
      <c r="C317" t="s">
        <v>105</v>
      </c>
      <c r="D317" t="s">
        <v>550</v>
      </c>
    </row>
    <row r="318" spans="1:4" x14ac:dyDescent="0.25">
      <c r="A318" t="s">
        <v>576</v>
      </c>
      <c r="B318" t="s">
        <v>623</v>
      </c>
      <c r="C318" t="s">
        <v>105</v>
      </c>
      <c r="D318" t="s">
        <v>550</v>
      </c>
    </row>
    <row r="319" spans="1:4" x14ac:dyDescent="0.25">
      <c r="A319" t="s">
        <v>577</v>
      </c>
      <c r="B319" t="s">
        <v>522</v>
      </c>
      <c r="C319" t="s">
        <v>105</v>
      </c>
      <c r="D319" t="s">
        <v>550</v>
      </c>
    </row>
    <row r="320" spans="1:4" x14ac:dyDescent="0.25">
      <c r="A320" t="s">
        <v>578</v>
      </c>
      <c r="B320" t="s">
        <v>624</v>
      </c>
      <c r="C320" t="s">
        <v>105</v>
      </c>
      <c r="D320" t="s">
        <v>550</v>
      </c>
    </row>
    <row r="321" spans="1:4" x14ac:dyDescent="0.25">
      <c r="A321" t="s">
        <v>579</v>
      </c>
      <c r="B321" t="s">
        <v>625</v>
      </c>
      <c r="C321" t="s">
        <v>105</v>
      </c>
      <c r="D321" t="s">
        <v>550</v>
      </c>
    </row>
    <row r="322" spans="1:4" x14ac:dyDescent="0.25">
      <c r="A322" t="s">
        <v>580</v>
      </c>
      <c r="B322" t="s">
        <v>626</v>
      </c>
      <c r="C322" t="s">
        <v>105</v>
      </c>
      <c r="D322" t="s">
        <v>550</v>
      </c>
    </row>
    <row r="323" spans="1:4" x14ac:dyDescent="0.25">
      <c r="A323" t="s">
        <v>581</v>
      </c>
      <c r="B323" t="s">
        <v>627</v>
      </c>
      <c r="C323" t="s">
        <v>105</v>
      </c>
      <c r="D323" t="s">
        <v>550</v>
      </c>
    </row>
    <row r="324" spans="1:4" x14ac:dyDescent="0.25">
      <c r="A324" t="s">
        <v>582</v>
      </c>
      <c r="B324" t="s">
        <v>628</v>
      </c>
      <c r="C324" t="s">
        <v>105</v>
      </c>
      <c r="D324" t="s">
        <v>550</v>
      </c>
    </row>
    <row r="325" spans="1:4" x14ac:dyDescent="0.25">
      <c r="A325" t="s">
        <v>583</v>
      </c>
      <c r="B325" t="s">
        <v>629</v>
      </c>
      <c r="C325" t="s">
        <v>105</v>
      </c>
      <c r="D325" t="s">
        <v>550</v>
      </c>
    </row>
    <row r="326" spans="1:4" x14ac:dyDescent="0.25">
      <c r="A326" t="s">
        <v>584</v>
      </c>
      <c r="B326" t="s">
        <v>526</v>
      </c>
      <c r="C326" t="s">
        <v>105</v>
      </c>
      <c r="D326" t="s">
        <v>550</v>
      </c>
    </row>
    <row r="327" spans="1:4" x14ac:dyDescent="0.25">
      <c r="A327" t="s">
        <v>585</v>
      </c>
      <c r="B327" t="s">
        <v>350</v>
      </c>
      <c r="C327" t="s">
        <v>105</v>
      </c>
      <c r="D327" t="s">
        <v>550</v>
      </c>
    </row>
    <row r="328" spans="1:4" x14ac:dyDescent="0.25">
      <c r="A328" t="s">
        <v>586</v>
      </c>
      <c r="B328" t="s">
        <v>527</v>
      </c>
      <c r="C328" t="s">
        <v>105</v>
      </c>
      <c r="D328" t="s">
        <v>550</v>
      </c>
    </row>
    <row r="329" spans="1:4" x14ac:dyDescent="0.25">
      <c r="A329" t="s">
        <v>685</v>
      </c>
      <c r="B329" t="s">
        <v>185</v>
      </c>
      <c r="C329" t="s">
        <v>561</v>
      </c>
      <c r="D329" t="s">
        <v>550</v>
      </c>
    </row>
    <row r="330" spans="1:4" x14ac:dyDescent="0.25">
      <c r="A330" t="s">
        <v>686</v>
      </c>
      <c r="B330" t="s">
        <v>544</v>
      </c>
      <c r="C330" t="s">
        <v>561</v>
      </c>
      <c r="D330" t="s">
        <v>550</v>
      </c>
    </row>
    <row r="331" spans="1:4" x14ac:dyDescent="0.25">
      <c r="A331" t="s">
        <v>687</v>
      </c>
      <c r="B331" t="s">
        <v>642</v>
      </c>
      <c r="C331" t="s">
        <v>561</v>
      </c>
      <c r="D331" t="s">
        <v>550</v>
      </c>
    </row>
    <row r="332" spans="1:4" x14ac:dyDescent="0.25">
      <c r="A332" t="s">
        <v>688</v>
      </c>
      <c r="B332" t="s">
        <v>545</v>
      </c>
      <c r="C332" t="s">
        <v>561</v>
      </c>
      <c r="D332" t="s">
        <v>550</v>
      </c>
    </row>
    <row r="333" spans="1:4" x14ac:dyDescent="0.25">
      <c r="A333" t="s">
        <v>668</v>
      </c>
      <c r="B333" t="s">
        <v>630</v>
      </c>
      <c r="C333" t="s">
        <v>555</v>
      </c>
      <c r="D333" t="s">
        <v>550</v>
      </c>
    </row>
    <row r="334" spans="1:4" x14ac:dyDescent="0.25">
      <c r="A334" t="s">
        <v>669</v>
      </c>
      <c r="B334" t="s">
        <v>706</v>
      </c>
      <c r="C334" t="s">
        <v>555</v>
      </c>
      <c r="D334" t="s">
        <v>550</v>
      </c>
    </row>
    <row r="335" spans="1:4" x14ac:dyDescent="0.25">
      <c r="A335" t="s">
        <v>670</v>
      </c>
      <c r="B335" t="s">
        <v>707</v>
      </c>
      <c r="C335" t="s">
        <v>555</v>
      </c>
      <c r="D335" t="s">
        <v>550</v>
      </c>
    </row>
    <row r="336" spans="1:4" x14ac:dyDescent="0.25">
      <c r="A336" t="s">
        <v>671</v>
      </c>
      <c r="B336" t="s">
        <v>708</v>
      </c>
      <c r="C336" t="s">
        <v>555</v>
      </c>
      <c r="D336" t="s">
        <v>550</v>
      </c>
    </row>
    <row r="337" spans="1:4" x14ac:dyDescent="0.25">
      <c r="A337" t="s">
        <v>672</v>
      </c>
      <c r="B337" t="s">
        <v>709</v>
      </c>
      <c r="C337" t="s">
        <v>555</v>
      </c>
      <c r="D337" t="s">
        <v>550</v>
      </c>
    </row>
    <row r="338" spans="1:4" x14ac:dyDescent="0.25">
      <c r="A338" t="s">
        <v>673</v>
      </c>
      <c r="B338" t="s">
        <v>710</v>
      </c>
      <c r="C338" t="s">
        <v>555</v>
      </c>
      <c r="D338" t="s">
        <v>550</v>
      </c>
    </row>
    <row r="339" spans="1:4" x14ac:dyDescent="0.25">
      <c r="A339" t="s">
        <v>674</v>
      </c>
      <c r="B339" t="s">
        <v>536</v>
      </c>
      <c r="C339" t="s">
        <v>555</v>
      </c>
      <c r="D339" t="s">
        <v>550</v>
      </c>
    </row>
    <row r="340" spans="1:4" x14ac:dyDescent="0.25">
      <c r="A340" t="s">
        <v>680</v>
      </c>
      <c r="B340" t="s">
        <v>714</v>
      </c>
      <c r="C340" t="s">
        <v>559</v>
      </c>
      <c r="D340" t="s">
        <v>550</v>
      </c>
    </row>
    <row r="341" spans="1:4" x14ac:dyDescent="0.25">
      <c r="A341" t="s">
        <v>681</v>
      </c>
      <c r="B341" t="s">
        <v>715</v>
      </c>
      <c r="C341" t="s">
        <v>559</v>
      </c>
      <c r="D341" t="s">
        <v>550</v>
      </c>
    </row>
    <row r="342" spans="1:4" x14ac:dyDescent="0.25">
      <c r="A342" t="s">
        <v>682</v>
      </c>
      <c r="B342" t="s">
        <v>716</v>
      </c>
      <c r="C342" t="s">
        <v>559</v>
      </c>
      <c r="D342" t="s">
        <v>550</v>
      </c>
    </row>
    <row r="343" spans="1:4" x14ac:dyDescent="0.25">
      <c r="A343" t="s">
        <v>683</v>
      </c>
      <c r="B343" t="s">
        <v>717</v>
      </c>
      <c r="C343" t="s">
        <v>559</v>
      </c>
      <c r="D343" t="s">
        <v>550</v>
      </c>
    </row>
    <row r="344" spans="1:4" x14ac:dyDescent="0.25">
      <c r="A344" t="s">
        <v>684</v>
      </c>
      <c r="B344" t="s">
        <v>363</v>
      </c>
      <c r="C344" t="s">
        <v>559</v>
      </c>
      <c r="D344" t="s">
        <v>550</v>
      </c>
    </row>
    <row r="345" spans="1:4" x14ac:dyDescent="0.25">
      <c r="A345" t="s">
        <v>675</v>
      </c>
      <c r="B345" t="s">
        <v>711</v>
      </c>
      <c r="C345" t="s">
        <v>557</v>
      </c>
      <c r="D345" t="s">
        <v>550</v>
      </c>
    </row>
    <row r="346" spans="1:4" x14ac:dyDescent="0.25">
      <c r="A346" t="s">
        <v>676</v>
      </c>
      <c r="B346" t="s">
        <v>712</v>
      </c>
      <c r="C346" t="s">
        <v>557</v>
      </c>
      <c r="D346" t="s">
        <v>550</v>
      </c>
    </row>
    <row r="347" spans="1:4" x14ac:dyDescent="0.25">
      <c r="A347" t="s">
        <v>677</v>
      </c>
      <c r="B347" t="s">
        <v>713</v>
      </c>
      <c r="C347" t="s">
        <v>557</v>
      </c>
      <c r="D347" t="s">
        <v>550</v>
      </c>
    </row>
    <row r="348" spans="1:4" x14ac:dyDescent="0.25">
      <c r="A348" t="s">
        <v>678</v>
      </c>
      <c r="B348" t="s">
        <v>639</v>
      </c>
      <c r="C348" t="s">
        <v>557</v>
      </c>
      <c r="D348" t="s">
        <v>550</v>
      </c>
    </row>
    <row r="349" spans="1:4" x14ac:dyDescent="0.25">
      <c r="A349" t="s">
        <v>679</v>
      </c>
      <c r="B349" t="s">
        <v>215</v>
      </c>
      <c r="C349" t="s">
        <v>557</v>
      </c>
      <c r="D349" t="s">
        <v>550</v>
      </c>
    </row>
    <row r="350" spans="1:4" x14ac:dyDescent="0.25">
      <c r="A350" t="s">
        <v>644</v>
      </c>
      <c r="B350" t="s">
        <v>693</v>
      </c>
      <c r="C350" t="s">
        <v>553</v>
      </c>
      <c r="D350" t="s">
        <v>550</v>
      </c>
    </row>
    <row r="351" spans="1:4" x14ac:dyDescent="0.25">
      <c r="A351" t="s">
        <v>645</v>
      </c>
      <c r="B351" t="s">
        <v>694</v>
      </c>
      <c r="C351" t="s">
        <v>553</v>
      </c>
      <c r="D351" t="s">
        <v>550</v>
      </c>
    </row>
    <row r="352" spans="1:4" x14ac:dyDescent="0.25">
      <c r="A352" t="s">
        <v>646</v>
      </c>
      <c r="B352" t="s">
        <v>695</v>
      </c>
      <c r="C352" t="s">
        <v>553</v>
      </c>
      <c r="D352" t="s">
        <v>550</v>
      </c>
    </row>
    <row r="353" spans="1:4" x14ac:dyDescent="0.25">
      <c r="A353" t="s">
        <v>647</v>
      </c>
      <c r="B353" t="s">
        <v>613</v>
      </c>
      <c r="C353" t="s">
        <v>553</v>
      </c>
      <c r="D353" t="s">
        <v>550</v>
      </c>
    </row>
    <row r="354" spans="1:4" x14ac:dyDescent="0.25">
      <c r="A354" t="s">
        <v>648</v>
      </c>
      <c r="B354" t="s">
        <v>696</v>
      </c>
      <c r="C354" t="s">
        <v>553</v>
      </c>
      <c r="D354" t="s">
        <v>550</v>
      </c>
    </row>
    <row r="355" spans="1:4" x14ac:dyDescent="0.25">
      <c r="A355" t="s">
        <v>649</v>
      </c>
      <c r="B355" t="s">
        <v>697</v>
      </c>
      <c r="C355" t="s">
        <v>553</v>
      </c>
      <c r="D355" t="s">
        <v>550</v>
      </c>
    </row>
    <row r="356" spans="1:4" x14ac:dyDescent="0.25">
      <c r="A356" t="s">
        <v>650</v>
      </c>
      <c r="B356" t="s">
        <v>698</v>
      </c>
      <c r="C356" t="s">
        <v>553</v>
      </c>
      <c r="D356" t="s">
        <v>550</v>
      </c>
    </row>
    <row r="357" spans="1:4" x14ac:dyDescent="0.25">
      <c r="A357" t="s">
        <v>651</v>
      </c>
      <c r="B357" t="s">
        <v>513</v>
      </c>
      <c r="C357" t="s">
        <v>553</v>
      </c>
      <c r="D357" t="s">
        <v>550</v>
      </c>
    </row>
    <row r="358" spans="1:4" x14ac:dyDescent="0.25">
      <c r="A358" t="s">
        <v>652</v>
      </c>
      <c r="B358" t="s">
        <v>699</v>
      </c>
      <c r="C358" t="s">
        <v>553</v>
      </c>
      <c r="D358" t="s">
        <v>550</v>
      </c>
    </row>
    <row r="359" spans="1:4" x14ac:dyDescent="0.25">
      <c r="A359" t="s">
        <v>653</v>
      </c>
      <c r="B359" t="s">
        <v>700</v>
      </c>
      <c r="C359" t="s">
        <v>553</v>
      </c>
      <c r="D359" t="s">
        <v>550</v>
      </c>
    </row>
    <row r="360" spans="1:4" x14ac:dyDescent="0.25">
      <c r="A360" t="s">
        <v>654</v>
      </c>
      <c r="B360" t="s">
        <v>620</v>
      </c>
      <c r="C360" t="s">
        <v>553</v>
      </c>
      <c r="D360" t="s">
        <v>550</v>
      </c>
    </row>
    <row r="361" spans="1:4" x14ac:dyDescent="0.25">
      <c r="A361" t="s">
        <v>655</v>
      </c>
      <c r="B361" t="s">
        <v>621</v>
      </c>
      <c r="C361" t="s">
        <v>553</v>
      </c>
      <c r="D361" t="s">
        <v>550</v>
      </c>
    </row>
    <row r="362" spans="1:4" x14ac:dyDescent="0.25">
      <c r="A362" t="s">
        <v>656</v>
      </c>
      <c r="B362" t="s">
        <v>701</v>
      </c>
      <c r="C362" t="s">
        <v>105</v>
      </c>
      <c r="D362" t="s">
        <v>550</v>
      </c>
    </row>
    <row r="363" spans="1:4" x14ac:dyDescent="0.25">
      <c r="A363" t="s">
        <v>657</v>
      </c>
      <c r="B363" t="s">
        <v>702</v>
      </c>
      <c r="C363" t="s">
        <v>105</v>
      </c>
      <c r="D363" t="s">
        <v>550</v>
      </c>
    </row>
    <row r="364" spans="1:4" x14ac:dyDescent="0.25">
      <c r="A364" t="s">
        <v>658</v>
      </c>
      <c r="B364" t="s">
        <v>703</v>
      </c>
      <c r="C364" t="s">
        <v>105</v>
      </c>
      <c r="D364" t="s">
        <v>550</v>
      </c>
    </row>
    <row r="365" spans="1:4" x14ac:dyDescent="0.25">
      <c r="A365" t="s">
        <v>659</v>
      </c>
      <c r="B365" t="s">
        <v>625</v>
      </c>
      <c r="C365" t="s">
        <v>105</v>
      </c>
      <c r="D365" t="s">
        <v>550</v>
      </c>
    </row>
    <row r="366" spans="1:4" x14ac:dyDescent="0.25">
      <c r="A366" t="s">
        <v>660</v>
      </c>
      <c r="B366" t="s">
        <v>704</v>
      </c>
      <c r="C366" t="s">
        <v>105</v>
      </c>
      <c r="D366" t="s">
        <v>550</v>
      </c>
    </row>
    <row r="367" spans="1:4" x14ac:dyDescent="0.25">
      <c r="A367" t="s">
        <v>661</v>
      </c>
      <c r="B367" t="s">
        <v>627</v>
      </c>
      <c r="C367" t="s">
        <v>105</v>
      </c>
      <c r="D367" t="s">
        <v>550</v>
      </c>
    </row>
    <row r="368" spans="1:4" x14ac:dyDescent="0.25">
      <c r="A368" t="s">
        <v>662</v>
      </c>
      <c r="B368" t="s">
        <v>705</v>
      </c>
      <c r="C368" t="s">
        <v>105</v>
      </c>
      <c r="D368" t="s">
        <v>550</v>
      </c>
    </row>
    <row r="369" spans="1:4" x14ac:dyDescent="0.25">
      <c r="A369" t="s">
        <v>663</v>
      </c>
      <c r="B369" t="s">
        <v>628</v>
      </c>
      <c r="C369" t="s">
        <v>105</v>
      </c>
      <c r="D369" t="s">
        <v>550</v>
      </c>
    </row>
    <row r="370" spans="1:4" x14ac:dyDescent="0.25">
      <c r="A370" t="s">
        <v>664</v>
      </c>
      <c r="B370" t="s">
        <v>629</v>
      </c>
      <c r="C370" t="s">
        <v>105</v>
      </c>
      <c r="D370" t="s">
        <v>550</v>
      </c>
    </row>
    <row r="371" spans="1:4" x14ac:dyDescent="0.25">
      <c r="A371" t="s">
        <v>665</v>
      </c>
      <c r="B371" t="s">
        <v>526</v>
      </c>
      <c r="C371" t="s">
        <v>105</v>
      </c>
      <c r="D371" t="s">
        <v>550</v>
      </c>
    </row>
    <row r="372" spans="1:4" x14ac:dyDescent="0.25">
      <c r="A372" t="s">
        <v>666</v>
      </c>
      <c r="B372" t="s">
        <v>350</v>
      </c>
      <c r="C372" t="s">
        <v>105</v>
      </c>
      <c r="D372" t="s">
        <v>550</v>
      </c>
    </row>
    <row r="373" spans="1:4" x14ac:dyDescent="0.25">
      <c r="A373" t="s">
        <v>667</v>
      </c>
      <c r="B373" t="s">
        <v>527</v>
      </c>
      <c r="C373" t="s">
        <v>105</v>
      </c>
      <c r="D373" t="s">
        <v>550</v>
      </c>
    </row>
    <row r="374" spans="1:4" x14ac:dyDescent="0.25">
      <c r="A374" t="s">
        <v>773</v>
      </c>
      <c r="B374" t="s">
        <v>185</v>
      </c>
      <c r="C374" t="s">
        <v>561</v>
      </c>
      <c r="D374" t="s">
        <v>550</v>
      </c>
    </row>
    <row r="375" spans="1:4" x14ac:dyDescent="0.25">
      <c r="A375" t="s">
        <v>774</v>
      </c>
      <c r="B375" t="s">
        <v>544</v>
      </c>
      <c r="C375" t="s">
        <v>561</v>
      </c>
      <c r="D375" t="s">
        <v>550</v>
      </c>
    </row>
    <row r="376" spans="1:4" x14ac:dyDescent="0.25">
      <c r="A376" t="s">
        <v>775</v>
      </c>
      <c r="B376" t="s">
        <v>642</v>
      </c>
      <c r="C376" t="s">
        <v>561</v>
      </c>
      <c r="D376" t="s">
        <v>550</v>
      </c>
    </row>
    <row r="377" spans="1:4" x14ac:dyDescent="0.25">
      <c r="A377" t="s">
        <v>776</v>
      </c>
      <c r="B377" t="s">
        <v>545</v>
      </c>
      <c r="C377" t="s">
        <v>561</v>
      </c>
      <c r="D377" t="s">
        <v>550</v>
      </c>
    </row>
    <row r="378" spans="1:4" x14ac:dyDescent="0.25">
      <c r="A378" t="s">
        <v>753</v>
      </c>
      <c r="B378" t="s">
        <v>630</v>
      </c>
      <c r="C378" t="s">
        <v>555</v>
      </c>
      <c r="D378" t="s">
        <v>550</v>
      </c>
    </row>
    <row r="379" spans="1:4" x14ac:dyDescent="0.25">
      <c r="A379" t="s">
        <v>754</v>
      </c>
      <c r="B379" t="s">
        <v>706</v>
      </c>
      <c r="C379" t="s">
        <v>555</v>
      </c>
      <c r="D379" t="s">
        <v>550</v>
      </c>
    </row>
    <row r="380" spans="1:4" x14ac:dyDescent="0.25">
      <c r="A380" t="s">
        <v>755</v>
      </c>
      <c r="B380" t="s">
        <v>707</v>
      </c>
      <c r="C380" t="s">
        <v>555</v>
      </c>
      <c r="D380" t="s">
        <v>550</v>
      </c>
    </row>
    <row r="381" spans="1:4" x14ac:dyDescent="0.25">
      <c r="A381" t="s">
        <v>756</v>
      </c>
      <c r="B381" t="s">
        <v>708</v>
      </c>
      <c r="C381" t="s">
        <v>555</v>
      </c>
      <c r="D381" t="s">
        <v>550</v>
      </c>
    </row>
    <row r="382" spans="1:4" x14ac:dyDescent="0.25">
      <c r="A382" t="s">
        <v>757</v>
      </c>
      <c r="B382" t="s">
        <v>709</v>
      </c>
      <c r="C382" t="s">
        <v>555</v>
      </c>
      <c r="D382" t="s">
        <v>550</v>
      </c>
    </row>
    <row r="383" spans="1:4" x14ac:dyDescent="0.25">
      <c r="A383" t="s">
        <v>758</v>
      </c>
      <c r="B383" t="s">
        <v>710</v>
      </c>
      <c r="C383" t="s">
        <v>555</v>
      </c>
      <c r="D383" t="s">
        <v>550</v>
      </c>
    </row>
    <row r="384" spans="1:4" x14ac:dyDescent="0.25">
      <c r="A384" t="s">
        <v>759</v>
      </c>
      <c r="B384" t="s">
        <v>536</v>
      </c>
      <c r="C384" t="s">
        <v>555</v>
      </c>
      <c r="D384" t="s">
        <v>550</v>
      </c>
    </row>
    <row r="385" spans="1:4" x14ac:dyDescent="0.25">
      <c r="A385" t="s">
        <v>768</v>
      </c>
      <c r="B385" t="s">
        <v>714</v>
      </c>
      <c r="C385" t="s">
        <v>559</v>
      </c>
      <c r="D385" t="s">
        <v>550</v>
      </c>
    </row>
    <row r="386" spans="1:4" x14ac:dyDescent="0.25">
      <c r="A386" t="s">
        <v>769</v>
      </c>
      <c r="B386" t="s">
        <v>715</v>
      </c>
      <c r="C386" t="s">
        <v>559</v>
      </c>
      <c r="D386" t="s">
        <v>550</v>
      </c>
    </row>
    <row r="387" spans="1:4" x14ac:dyDescent="0.25">
      <c r="A387" t="s">
        <v>770</v>
      </c>
      <c r="B387" t="s">
        <v>716</v>
      </c>
      <c r="C387" t="s">
        <v>559</v>
      </c>
      <c r="D387" t="s">
        <v>550</v>
      </c>
    </row>
    <row r="388" spans="1:4" x14ac:dyDescent="0.25">
      <c r="A388" t="s">
        <v>771</v>
      </c>
      <c r="B388" t="s">
        <v>717</v>
      </c>
      <c r="C388" t="s">
        <v>559</v>
      </c>
      <c r="D388" t="s">
        <v>550</v>
      </c>
    </row>
    <row r="389" spans="1:4" x14ac:dyDescent="0.25">
      <c r="A389" t="s">
        <v>772</v>
      </c>
      <c r="B389" t="s">
        <v>363</v>
      </c>
      <c r="C389" t="s">
        <v>559</v>
      </c>
      <c r="D389" t="s">
        <v>550</v>
      </c>
    </row>
    <row r="390" spans="1:4" x14ac:dyDescent="0.25">
      <c r="A390" t="s">
        <v>760</v>
      </c>
      <c r="B390" t="s">
        <v>711</v>
      </c>
      <c r="C390" t="s">
        <v>557</v>
      </c>
      <c r="D390" t="s">
        <v>550</v>
      </c>
    </row>
    <row r="391" spans="1:4" x14ac:dyDescent="0.25">
      <c r="A391" t="s">
        <v>761</v>
      </c>
      <c r="B391" t="s">
        <v>762</v>
      </c>
      <c r="C391" t="s">
        <v>557</v>
      </c>
      <c r="D391" t="s">
        <v>550</v>
      </c>
    </row>
    <row r="392" spans="1:4" x14ac:dyDescent="0.25">
      <c r="A392" t="s">
        <v>763</v>
      </c>
      <c r="B392" t="s">
        <v>764</v>
      </c>
      <c r="C392" t="s">
        <v>557</v>
      </c>
      <c r="D392" t="s">
        <v>550</v>
      </c>
    </row>
    <row r="393" spans="1:4" x14ac:dyDescent="0.25">
      <c r="A393" t="s">
        <v>765</v>
      </c>
      <c r="B393" t="s">
        <v>766</v>
      </c>
      <c r="C393" t="s">
        <v>557</v>
      </c>
      <c r="D393" t="s">
        <v>550</v>
      </c>
    </row>
    <row r="394" spans="1:4" x14ac:dyDescent="0.25">
      <c r="A394" t="s">
        <v>767</v>
      </c>
      <c r="B394" t="s">
        <v>215</v>
      </c>
      <c r="C394" t="s">
        <v>557</v>
      </c>
      <c r="D394" t="s">
        <v>550</v>
      </c>
    </row>
    <row r="395" spans="1:4" x14ac:dyDescent="0.25">
      <c r="A395" t="s">
        <v>718</v>
      </c>
      <c r="B395" t="s">
        <v>781</v>
      </c>
      <c r="C395" t="s">
        <v>553</v>
      </c>
      <c r="D395" t="s">
        <v>550</v>
      </c>
    </row>
    <row r="396" spans="1:4" x14ac:dyDescent="0.25">
      <c r="A396" t="s">
        <v>719</v>
      </c>
      <c r="B396" t="s">
        <v>720</v>
      </c>
      <c r="C396" t="s">
        <v>553</v>
      </c>
      <c r="D396" t="s">
        <v>550</v>
      </c>
    </row>
    <row r="397" spans="1:4" x14ac:dyDescent="0.25">
      <c r="A397" t="s">
        <v>721</v>
      </c>
      <c r="B397" t="s">
        <v>722</v>
      </c>
      <c r="C397" t="s">
        <v>553</v>
      </c>
      <c r="D397" t="s">
        <v>550</v>
      </c>
    </row>
    <row r="398" spans="1:4" x14ac:dyDescent="0.25">
      <c r="A398" t="s">
        <v>723</v>
      </c>
      <c r="B398" t="s">
        <v>613</v>
      </c>
      <c r="C398" t="s">
        <v>553</v>
      </c>
      <c r="D398" t="s">
        <v>550</v>
      </c>
    </row>
    <row r="399" spans="1:4" x14ac:dyDescent="0.25">
      <c r="A399" t="s">
        <v>724</v>
      </c>
      <c r="B399" t="s">
        <v>725</v>
      </c>
      <c r="C399" t="s">
        <v>553</v>
      </c>
      <c r="D399" t="s">
        <v>550</v>
      </c>
    </row>
    <row r="400" spans="1:4" x14ac:dyDescent="0.25">
      <c r="A400" t="s">
        <v>726</v>
      </c>
      <c r="B400" t="s">
        <v>727</v>
      </c>
      <c r="C400" t="s">
        <v>553</v>
      </c>
      <c r="D400" t="s">
        <v>550</v>
      </c>
    </row>
    <row r="401" spans="1:4" x14ac:dyDescent="0.25">
      <c r="A401" t="s">
        <v>728</v>
      </c>
      <c r="B401" t="s">
        <v>729</v>
      </c>
      <c r="C401" t="s">
        <v>553</v>
      </c>
      <c r="D401" t="s">
        <v>550</v>
      </c>
    </row>
    <row r="402" spans="1:4" x14ac:dyDescent="0.25">
      <c r="A402" t="s">
        <v>730</v>
      </c>
      <c r="B402" t="s">
        <v>731</v>
      </c>
      <c r="C402" t="s">
        <v>553</v>
      </c>
      <c r="D402" t="s">
        <v>550</v>
      </c>
    </row>
    <row r="403" spans="1:4" x14ac:dyDescent="0.25">
      <c r="A403" t="s">
        <v>732</v>
      </c>
      <c r="B403" t="s">
        <v>618</v>
      </c>
      <c r="C403" t="s">
        <v>553</v>
      </c>
      <c r="D403" t="s">
        <v>550</v>
      </c>
    </row>
    <row r="404" spans="1:4" x14ac:dyDescent="0.25">
      <c r="A404" t="s">
        <v>733</v>
      </c>
      <c r="B404" t="s">
        <v>700</v>
      </c>
      <c r="C404" t="s">
        <v>553</v>
      </c>
      <c r="D404" t="s">
        <v>550</v>
      </c>
    </row>
    <row r="405" spans="1:4" x14ac:dyDescent="0.25">
      <c r="A405" t="s">
        <v>734</v>
      </c>
      <c r="B405" t="s">
        <v>620</v>
      </c>
      <c r="C405" t="s">
        <v>553</v>
      </c>
      <c r="D405" t="s">
        <v>550</v>
      </c>
    </row>
    <row r="406" spans="1:4" x14ac:dyDescent="0.25">
      <c r="A406" t="s">
        <v>735</v>
      </c>
      <c r="B406" t="s">
        <v>621</v>
      </c>
      <c r="C406" t="s">
        <v>553</v>
      </c>
      <c r="D406" t="s">
        <v>550</v>
      </c>
    </row>
    <row r="407" spans="1:4" x14ac:dyDescent="0.25">
      <c r="A407" t="s">
        <v>736</v>
      </c>
      <c r="B407" t="s">
        <v>737</v>
      </c>
      <c r="C407" t="s">
        <v>105</v>
      </c>
      <c r="D407" t="s">
        <v>550</v>
      </c>
    </row>
    <row r="408" spans="1:4" x14ac:dyDescent="0.25">
      <c r="A408" t="s">
        <v>738</v>
      </c>
      <c r="B408" t="s">
        <v>739</v>
      </c>
      <c r="C408" t="s">
        <v>105</v>
      </c>
      <c r="D408" t="s">
        <v>550</v>
      </c>
    </row>
    <row r="409" spans="1:4" x14ac:dyDescent="0.25">
      <c r="A409" t="s">
        <v>740</v>
      </c>
      <c r="B409" t="s">
        <v>741</v>
      </c>
      <c r="C409" t="s">
        <v>105</v>
      </c>
      <c r="D409" t="s">
        <v>550</v>
      </c>
    </row>
    <row r="410" spans="1:4" x14ac:dyDescent="0.25">
      <c r="A410" t="s">
        <v>742</v>
      </c>
      <c r="B410" t="s">
        <v>704</v>
      </c>
      <c r="C410" t="s">
        <v>105</v>
      </c>
      <c r="D410" t="s">
        <v>550</v>
      </c>
    </row>
    <row r="411" spans="1:4" x14ac:dyDescent="0.25">
      <c r="A411" t="s">
        <v>743</v>
      </c>
      <c r="B411" t="s">
        <v>627</v>
      </c>
      <c r="C411" t="s">
        <v>105</v>
      </c>
      <c r="D411" t="s">
        <v>550</v>
      </c>
    </row>
    <row r="412" spans="1:4" x14ac:dyDescent="0.25">
      <c r="A412" t="s">
        <v>744</v>
      </c>
      <c r="B412" t="s">
        <v>745</v>
      </c>
      <c r="C412" t="s">
        <v>105</v>
      </c>
      <c r="D412" t="s">
        <v>550</v>
      </c>
    </row>
    <row r="413" spans="1:4" x14ac:dyDescent="0.25">
      <c r="A413" t="s">
        <v>746</v>
      </c>
      <c r="B413" t="s">
        <v>747</v>
      </c>
      <c r="C413" t="s">
        <v>105</v>
      </c>
      <c r="D413" t="s">
        <v>550</v>
      </c>
    </row>
    <row r="414" spans="1:4" x14ac:dyDescent="0.25">
      <c r="A414" t="s">
        <v>748</v>
      </c>
      <c r="B414" t="s">
        <v>628</v>
      </c>
      <c r="C414" t="s">
        <v>105</v>
      </c>
      <c r="D414" t="s">
        <v>550</v>
      </c>
    </row>
    <row r="415" spans="1:4" x14ac:dyDescent="0.25">
      <c r="A415" t="s">
        <v>749</v>
      </c>
      <c r="B415" t="s">
        <v>629</v>
      </c>
      <c r="C415" t="s">
        <v>105</v>
      </c>
      <c r="D415" t="s">
        <v>550</v>
      </c>
    </row>
    <row r="416" spans="1:4" x14ac:dyDescent="0.25">
      <c r="A416" t="s">
        <v>750</v>
      </c>
      <c r="B416" t="s">
        <v>526</v>
      </c>
      <c r="C416" t="s">
        <v>105</v>
      </c>
      <c r="D416" t="s">
        <v>550</v>
      </c>
    </row>
    <row r="417" spans="1:4" x14ac:dyDescent="0.25">
      <c r="A417" t="s">
        <v>751</v>
      </c>
      <c r="B417" t="s">
        <v>350</v>
      </c>
      <c r="C417" t="s">
        <v>105</v>
      </c>
      <c r="D417" t="s">
        <v>550</v>
      </c>
    </row>
    <row r="418" spans="1:4" x14ac:dyDescent="0.25">
      <c r="A418" t="s">
        <v>752</v>
      </c>
      <c r="B418" t="s">
        <v>527</v>
      </c>
      <c r="C418" t="s">
        <v>105</v>
      </c>
      <c r="D418" t="s">
        <v>550</v>
      </c>
    </row>
    <row r="419" spans="1:4" x14ac:dyDescent="0.25">
      <c r="A419" t="s">
        <v>816</v>
      </c>
      <c r="B419" t="s">
        <v>817</v>
      </c>
      <c r="C419" t="s">
        <v>926</v>
      </c>
      <c r="D419" t="s">
        <v>927</v>
      </c>
    </row>
    <row r="420" spans="1:4" x14ac:dyDescent="0.25">
      <c r="A420" t="s">
        <v>818</v>
      </c>
      <c r="B420" t="s">
        <v>819</v>
      </c>
      <c r="C420" t="s">
        <v>926</v>
      </c>
      <c r="D420" t="s">
        <v>927</v>
      </c>
    </row>
    <row r="421" spans="1:4" x14ac:dyDescent="0.25">
      <c r="A421" t="s">
        <v>820</v>
      </c>
      <c r="B421" t="s">
        <v>821</v>
      </c>
      <c r="C421" t="s">
        <v>926</v>
      </c>
      <c r="D421" t="s">
        <v>927</v>
      </c>
    </row>
    <row r="422" spans="1:4" x14ac:dyDescent="0.25">
      <c r="A422" t="s">
        <v>822</v>
      </c>
      <c r="B422" t="s">
        <v>639</v>
      </c>
      <c r="C422" t="s">
        <v>926</v>
      </c>
      <c r="D422" t="s">
        <v>927</v>
      </c>
    </row>
    <row r="423" spans="1:4" x14ac:dyDescent="0.25">
      <c r="A423" t="s">
        <v>823</v>
      </c>
      <c r="B423" t="s">
        <v>824</v>
      </c>
      <c r="C423" t="s">
        <v>926</v>
      </c>
      <c r="D423" t="s">
        <v>927</v>
      </c>
    </row>
    <row r="424" spans="1:4" x14ac:dyDescent="0.25">
      <c r="A424" t="s">
        <v>825</v>
      </c>
      <c r="B424" t="s">
        <v>827</v>
      </c>
      <c r="C424" t="s">
        <v>926</v>
      </c>
      <c r="D424" t="s">
        <v>927</v>
      </c>
    </row>
    <row r="425" spans="1:4" x14ac:dyDescent="0.25">
      <c r="A425" t="s">
        <v>861</v>
      </c>
      <c r="B425" t="s">
        <v>817</v>
      </c>
      <c r="C425" t="s">
        <v>926</v>
      </c>
      <c r="D425" t="s">
        <v>927</v>
      </c>
    </row>
    <row r="426" spans="1:4" x14ac:dyDescent="0.25">
      <c r="A426" t="s">
        <v>862</v>
      </c>
      <c r="B426" t="s">
        <v>863</v>
      </c>
      <c r="C426" t="s">
        <v>926</v>
      </c>
      <c r="D426" t="s">
        <v>927</v>
      </c>
    </row>
    <row r="427" spans="1:4" x14ac:dyDescent="0.25">
      <c r="A427" t="s">
        <v>864</v>
      </c>
      <c r="B427" t="s">
        <v>865</v>
      </c>
      <c r="C427" t="s">
        <v>926</v>
      </c>
      <c r="D427" t="s">
        <v>927</v>
      </c>
    </row>
    <row r="428" spans="1:4" x14ac:dyDescent="0.25">
      <c r="A428" t="s">
        <v>906</v>
      </c>
      <c r="B428" t="s">
        <v>907</v>
      </c>
      <c r="C428" t="s">
        <v>926</v>
      </c>
      <c r="D428" t="s">
        <v>927</v>
      </c>
    </row>
    <row r="429" spans="1:4" x14ac:dyDescent="0.25">
      <c r="A429" t="s">
        <v>908</v>
      </c>
      <c r="B429" t="s">
        <v>909</v>
      </c>
      <c r="C429" t="s">
        <v>926</v>
      </c>
      <c r="D429" t="s">
        <v>927</v>
      </c>
    </row>
    <row r="430" spans="1:4" x14ac:dyDescent="0.25">
      <c r="A430" t="s">
        <v>910</v>
      </c>
      <c r="B430" t="s">
        <v>911</v>
      </c>
      <c r="C430" t="s">
        <v>926</v>
      </c>
      <c r="D430" t="s">
        <v>927</v>
      </c>
    </row>
    <row r="431" spans="1:4" x14ac:dyDescent="0.25">
      <c r="A431" t="s">
        <v>806</v>
      </c>
      <c r="B431" t="s">
        <v>807</v>
      </c>
      <c r="C431" t="s">
        <v>925</v>
      </c>
      <c r="D431" t="s">
        <v>927</v>
      </c>
    </row>
    <row r="432" spans="1:4" x14ac:dyDescent="0.25">
      <c r="A432" t="s">
        <v>808</v>
      </c>
      <c r="B432" t="s">
        <v>809</v>
      </c>
      <c r="C432" t="s">
        <v>925</v>
      </c>
      <c r="D432" t="s">
        <v>927</v>
      </c>
    </row>
    <row r="433" spans="1:4" x14ac:dyDescent="0.25">
      <c r="A433" t="s">
        <v>810</v>
      </c>
      <c r="B433" t="s">
        <v>826</v>
      </c>
      <c r="C433" t="s">
        <v>925</v>
      </c>
      <c r="D433" t="s">
        <v>927</v>
      </c>
    </row>
    <row r="434" spans="1:4" x14ac:dyDescent="0.25">
      <c r="A434" t="s">
        <v>811</v>
      </c>
      <c r="B434" t="s">
        <v>812</v>
      </c>
      <c r="C434" t="s">
        <v>925</v>
      </c>
      <c r="D434" t="s">
        <v>927</v>
      </c>
    </row>
    <row r="435" spans="1:4" x14ac:dyDescent="0.25">
      <c r="A435" t="s">
        <v>813</v>
      </c>
      <c r="B435" t="s">
        <v>814</v>
      </c>
      <c r="C435" t="s">
        <v>925</v>
      </c>
      <c r="D435" t="s">
        <v>927</v>
      </c>
    </row>
    <row r="436" spans="1:4" x14ac:dyDescent="0.25">
      <c r="A436" t="s">
        <v>815</v>
      </c>
      <c r="B436" t="s">
        <v>710</v>
      </c>
      <c r="C436" t="s">
        <v>925</v>
      </c>
      <c r="D436" t="s">
        <v>927</v>
      </c>
    </row>
    <row r="437" spans="1:4" x14ac:dyDescent="0.25">
      <c r="A437" t="s">
        <v>851</v>
      </c>
      <c r="B437" t="s">
        <v>852</v>
      </c>
      <c r="C437" t="s">
        <v>925</v>
      </c>
      <c r="D437" t="s">
        <v>927</v>
      </c>
    </row>
    <row r="438" spans="1:4" x14ac:dyDescent="0.25">
      <c r="A438" t="s">
        <v>853</v>
      </c>
      <c r="B438" t="s">
        <v>854</v>
      </c>
      <c r="C438" t="s">
        <v>925</v>
      </c>
      <c r="D438" t="s">
        <v>927</v>
      </c>
    </row>
    <row r="439" spans="1:4" x14ac:dyDescent="0.25">
      <c r="A439" t="s">
        <v>855</v>
      </c>
      <c r="B439" t="s">
        <v>826</v>
      </c>
      <c r="C439" t="s">
        <v>925</v>
      </c>
      <c r="D439" t="s">
        <v>927</v>
      </c>
    </row>
    <row r="440" spans="1:4" x14ac:dyDescent="0.25">
      <c r="A440" t="s">
        <v>856</v>
      </c>
      <c r="B440" t="s">
        <v>857</v>
      </c>
      <c r="C440" t="s">
        <v>925</v>
      </c>
      <c r="D440" t="s">
        <v>927</v>
      </c>
    </row>
    <row r="441" spans="1:4" x14ac:dyDescent="0.25">
      <c r="A441" t="s">
        <v>858</v>
      </c>
      <c r="B441" t="s">
        <v>814</v>
      </c>
      <c r="C441" t="s">
        <v>925</v>
      </c>
      <c r="D441" t="s">
        <v>927</v>
      </c>
    </row>
    <row r="442" spans="1:4" x14ac:dyDescent="0.25">
      <c r="A442" t="s">
        <v>859</v>
      </c>
      <c r="B442" t="s">
        <v>860</v>
      </c>
      <c r="C442" t="s">
        <v>925</v>
      </c>
      <c r="D442" t="s">
        <v>927</v>
      </c>
    </row>
    <row r="443" spans="1:4" x14ac:dyDescent="0.25">
      <c r="A443" t="s">
        <v>896</v>
      </c>
      <c r="B443" t="s">
        <v>897</v>
      </c>
      <c r="C443" t="s">
        <v>925</v>
      </c>
      <c r="D443" t="s">
        <v>927</v>
      </c>
    </row>
    <row r="444" spans="1:4" x14ac:dyDescent="0.25">
      <c r="A444" t="s">
        <v>898</v>
      </c>
      <c r="B444" t="s">
        <v>916</v>
      </c>
      <c r="C444" t="s">
        <v>925</v>
      </c>
      <c r="D444" t="s">
        <v>927</v>
      </c>
    </row>
    <row r="445" spans="1:4" x14ac:dyDescent="0.25">
      <c r="A445" t="s">
        <v>899</v>
      </c>
      <c r="B445" t="s">
        <v>917</v>
      </c>
      <c r="C445" t="s">
        <v>925</v>
      </c>
      <c r="D445" t="s">
        <v>927</v>
      </c>
    </row>
    <row r="446" spans="1:4" x14ac:dyDescent="0.25">
      <c r="A446" t="s">
        <v>900</v>
      </c>
      <c r="B446" t="s">
        <v>901</v>
      </c>
      <c r="C446" t="s">
        <v>925</v>
      </c>
      <c r="D446" t="s">
        <v>927</v>
      </c>
    </row>
    <row r="447" spans="1:4" x14ac:dyDescent="0.25">
      <c r="A447" t="s">
        <v>902</v>
      </c>
      <c r="B447" t="s">
        <v>903</v>
      </c>
      <c r="C447" t="s">
        <v>925</v>
      </c>
      <c r="D447" t="s">
        <v>927</v>
      </c>
    </row>
    <row r="448" spans="1:4" x14ac:dyDescent="0.25">
      <c r="A448" t="s">
        <v>904</v>
      </c>
      <c r="B448" t="s">
        <v>905</v>
      </c>
      <c r="C448" t="s">
        <v>925</v>
      </c>
      <c r="D448" t="s">
        <v>927</v>
      </c>
    </row>
    <row r="449" spans="1:4" x14ac:dyDescent="0.25">
      <c r="A449" t="s">
        <v>782</v>
      </c>
      <c r="B449" t="s">
        <v>783</v>
      </c>
      <c r="C449" t="s">
        <v>924</v>
      </c>
      <c r="D449" t="s">
        <v>927</v>
      </c>
    </row>
    <row r="450" spans="1:4" x14ac:dyDescent="0.25">
      <c r="A450" t="s">
        <v>784</v>
      </c>
      <c r="B450" t="s">
        <v>785</v>
      </c>
      <c r="C450" t="s">
        <v>924</v>
      </c>
      <c r="D450" t="s">
        <v>927</v>
      </c>
    </row>
    <row r="451" spans="1:4" x14ac:dyDescent="0.25">
      <c r="A451" t="s">
        <v>786</v>
      </c>
      <c r="B451" t="s">
        <v>787</v>
      </c>
      <c r="C451" t="s">
        <v>924</v>
      </c>
      <c r="D451" t="s">
        <v>927</v>
      </c>
    </row>
    <row r="452" spans="1:4" x14ac:dyDescent="0.25">
      <c r="A452" t="s">
        <v>788</v>
      </c>
      <c r="B452" t="s">
        <v>789</v>
      </c>
      <c r="C452" t="s">
        <v>924</v>
      </c>
      <c r="D452" t="s">
        <v>927</v>
      </c>
    </row>
    <row r="453" spans="1:4" x14ac:dyDescent="0.25">
      <c r="A453" t="s">
        <v>790</v>
      </c>
      <c r="B453" t="s">
        <v>791</v>
      </c>
      <c r="C453" t="s">
        <v>924</v>
      </c>
      <c r="D453" t="s">
        <v>927</v>
      </c>
    </row>
    <row r="454" spans="1:4" x14ac:dyDescent="0.25">
      <c r="A454" t="s">
        <v>792</v>
      </c>
      <c r="B454" t="s">
        <v>793</v>
      </c>
      <c r="C454" t="s">
        <v>924</v>
      </c>
      <c r="D454" t="s">
        <v>927</v>
      </c>
    </row>
    <row r="455" spans="1:4" x14ac:dyDescent="0.25">
      <c r="A455" t="s">
        <v>828</v>
      </c>
      <c r="B455" t="s">
        <v>829</v>
      </c>
      <c r="C455" t="s">
        <v>924</v>
      </c>
      <c r="D455" t="s">
        <v>927</v>
      </c>
    </row>
    <row r="456" spans="1:4" x14ac:dyDescent="0.25">
      <c r="A456" t="s">
        <v>830</v>
      </c>
      <c r="B456" t="s">
        <v>831</v>
      </c>
      <c r="C456" t="s">
        <v>924</v>
      </c>
      <c r="D456" t="s">
        <v>927</v>
      </c>
    </row>
    <row r="457" spans="1:4" x14ac:dyDescent="0.25">
      <c r="A457" t="s">
        <v>832</v>
      </c>
      <c r="B457" t="s">
        <v>833</v>
      </c>
      <c r="C457" t="s">
        <v>924</v>
      </c>
      <c r="D457" t="s">
        <v>927</v>
      </c>
    </row>
    <row r="458" spans="1:4" x14ac:dyDescent="0.25">
      <c r="A458" t="s">
        <v>834</v>
      </c>
      <c r="B458" t="s">
        <v>835</v>
      </c>
      <c r="C458" t="s">
        <v>924</v>
      </c>
      <c r="D458" t="s">
        <v>927</v>
      </c>
    </row>
    <row r="459" spans="1:4" x14ac:dyDescent="0.25">
      <c r="A459" t="s">
        <v>836</v>
      </c>
      <c r="B459" t="s">
        <v>837</v>
      </c>
      <c r="C459" t="s">
        <v>924</v>
      </c>
      <c r="D459" t="s">
        <v>927</v>
      </c>
    </row>
    <row r="460" spans="1:4" x14ac:dyDescent="0.25">
      <c r="A460" t="s">
        <v>838</v>
      </c>
      <c r="B460" t="s">
        <v>839</v>
      </c>
      <c r="C460" t="s">
        <v>924</v>
      </c>
      <c r="D460" t="s">
        <v>927</v>
      </c>
    </row>
    <row r="461" spans="1:4" x14ac:dyDescent="0.25">
      <c r="A461" t="s">
        <v>872</v>
      </c>
      <c r="B461" t="s">
        <v>873</v>
      </c>
      <c r="C461" t="s">
        <v>924</v>
      </c>
      <c r="D461" t="s">
        <v>927</v>
      </c>
    </row>
    <row r="462" spans="1:4" x14ac:dyDescent="0.25">
      <c r="A462" t="s">
        <v>874</v>
      </c>
      <c r="B462" t="s">
        <v>875</v>
      </c>
      <c r="C462" t="s">
        <v>924</v>
      </c>
      <c r="D462" t="s">
        <v>927</v>
      </c>
    </row>
    <row r="463" spans="1:4" x14ac:dyDescent="0.25">
      <c r="A463" t="s">
        <v>876</v>
      </c>
      <c r="B463" t="s">
        <v>877</v>
      </c>
      <c r="C463" t="s">
        <v>924</v>
      </c>
      <c r="D463" t="s">
        <v>927</v>
      </c>
    </row>
    <row r="464" spans="1:4" x14ac:dyDescent="0.25">
      <c r="A464" t="s">
        <v>878</v>
      </c>
      <c r="B464" t="s">
        <v>879</v>
      </c>
      <c r="C464" t="s">
        <v>924</v>
      </c>
      <c r="D464" t="s">
        <v>927</v>
      </c>
    </row>
    <row r="465" spans="1:4" x14ac:dyDescent="0.25">
      <c r="A465" t="s">
        <v>880</v>
      </c>
      <c r="B465" t="s">
        <v>881</v>
      </c>
      <c r="C465" t="s">
        <v>924</v>
      </c>
      <c r="D465" t="s">
        <v>927</v>
      </c>
    </row>
    <row r="466" spans="1:4" x14ac:dyDescent="0.25">
      <c r="A466" t="s">
        <v>882</v>
      </c>
      <c r="B466" t="s">
        <v>883</v>
      </c>
      <c r="C466" t="s">
        <v>924</v>
      </c>
      <c r="D466" t="s">
        <v>927</v>
      </c>
    </row>
    <row r="467" spans="1:4" x14ac:dyDescent="0.25">
      <c r="A467" t="s">
        <v>794</v>
      </c>
      <c r="B467" t="s">
        <v>795</v>
      </c>
      <c r="C467" t="s">
        <v>105</v>
      </c>
      <c r="D467" t="s">
        <v>927</v>
      </c>
    </row>
    <row r="468" spans="1:4" x14ac:dyDescent="0.25">
      <c r="A468" t="s">
        <v>796</v>
      </c>
      <c r="B468" t="s">
        <v>797</v>
      </c>
      <c r="C468" t="s">
        <v>105</v>
      </c>
      <c r="D468" t="s">
        <v>927</v>
      </c>
    </row>
    <row r="469" spans="1:4" x14ac:dyDescent="0.25">
      <c r="A469" t="s">
        <v>798</v>
      </c>
      <c r="B469" t="s">
        <v>799</v>
      </c>
      <c r="C469" t="s">
        <v>105</v>
      </c>
      <c r="D469" t="s">
        <v>927</v>
      </c>
    </row>
    <row r="470" spans="1:4" x14ac:dyDescent="0.25">
      <c r="A470" t="s">
        <v>800</v>
      </c>
      <c r="B470" t="s">
        <v>801</v>
      </c>
      <c r="C470" t="s">
        <v>105</v>
      </c>
      <c r="D470" t="s">
        <v>927</v>
      </c>
    </row>
    <row r="471" spans="1:4" x14ac:dyDescent="0.25">
      <c r="A471" t="s">
        <v>802</v>
      </c>
      <c r="B471" t="s">
        <v>803</v>
      </c>
      <c r="C471" t="s">
        <v>105</v>
      </c>
      <c r="D471" t="s">
        <v>927</v>
      </c>
    </row>
    <row r="472" spans="1:4" x14ac:dyDescent="0.25">
      <c r="A472" t="s">
        <v>804</v>
      </c>
      <c r="B472" t="s">
        <v>805</v>
      </c>
      <c r="C472" t="s">
        <v>105</v>
      </c>
      <c r="D472" t="s">
        <v>927</v>
      </c>
    </row>
    <row r="473" spans="1:4" x14ac:dyDescent="0.25">
      <c r="A473" t="s">
        <v>840</v>
      </c>
      <c r="B473" t="s">
        <v>841</v>
      </c>
      <c r="C473" t="s">
        <v>105</v>
      </c>
      <c r="D473" t="s">
        <v>927</v>
      </c>
    </row>
    <row r="474" spans="1:4" x14ac:dyDescent="0.25">
      <c r="A474" t="s">
        <v>842</v>
      </c>
      <c r="B474" t="s">
        <v>843</v>
      </c>
      <c r="C474" t="s">
        <v>105</v>
      </c>
      <c r="D474" t="s">
        <v>927</v>
      </c>
    </row>
    <row r="475" spans="1:4" x14ac:dyDescent="0.25">
      <c r="A475" t="s">
        <v>844</v>
      </c>
      <c r="B475" t="s">
        <v>845</v>
      </c>
      <c r="C475" t="s">
        <v>105</v>
      </c>
      <c r="D475" t="s">
        <v>927</v>
      </c>
    </row>
    <row r="476" spans="1:4" x14ac:dyDescent="0.25">
      <c r="A476" t="s">
        <v>846</v>
      </c>
      <c r="B476" t="s">
        <v>847</v>
      </c>
      <c r="C476" t="s">
        <v>105</v>
      </c>
      <c r="D476" t="s">
        <v>927</v>
      </c>
    </row>
    <row r="477" spans="1:4" x14ac:dyDescent="0.25">
      <c r="A477" t="s">
        <v>848</v>
      </c>
      <c r="B477" t="s">
        <v>805</v>
      </c>
      <c r="C477" t="s">
        <v>105</v>
      </c>
      <c r="D477" t="s">
        <v>927</v>
      </c>
    </row>
    <row r="478" spans="1:4" x14ac:dyDescent="0.25">
      <c r="A478" t="s">
        <v>849</v>
      </c>
      <c r="B478" t="s">
        <v>850</v>
      </c>
      <c r="C478" t="s">
        <v>105</v>
      </c>
      <c r="D478" t="s">
        <v>927</v>
      </c>
    </row>
    <row r="479" spans="1:4" x14ac:dyDescent="0.25">
      <c r="A479" t="s">
        <v>884</v>
      </c>
      <c r="B479" t="s">
        <v>885</v>
      </c>
      <c r="C479" t="s">
        <v>105</v>
      </c>
      <c r="D479" t="s">
        <v>927</v>
      </c>
    </row>
    <row r="480" spans="1:4" x14ac:dyDescent="0.25">
      <c r="A480" t="s">
        <v>886</v>
      </c>
      <c r="B480" t="s">
        <v>887</v>
      </c>
      <c r="C480" t="s">
        <v>105</v>
      </c>
      <c r="D480" t="s">
        <v>927</v>
      </c>
    </row>
    <row r="481" spans="1:4" x14ac:dyDescent="0.25">
      <c r="A481" t="s">
        <v>888</v>
      </c>
      <c r="B481" t="s">
        <v>889</v>
      </c>
      <c r="C481" t="s">
        <v>105</v>
      </c>
      <c r="D481" t="s">
        <v>927</v>
      </c>
    </row>
    <row r="482" spans="1:4" x14ac:dyDescent="0.25">
      <c r="A482" t="s">
        <v>890</v>
      </c>
      <c r="B482" t="s">
        <v>891</v>
      </c>
      <c r="C482" t="s">
        <v>105</v>
      </c>
      <c r="D482" t="s">
        <v>927</v>
      </c>
    </row>
    <row r="483" spans="1:4" x14ac:dyDescent="0.25">
      <c r="A483" t="s">
        <v>892</v>
      </c>
      <c r="B483" t="s">
        <v>893</v>
      </c>
      <c r="C483" t="s">
        <v>105</v>
      </c>
      <c r="D483" t="s">
        <v>927</v>
      </c>
    </row>
    <row r="484" spans="1:4" x14ac:dyDescent="0.25">
      <c r="A484" t="s">
        <v>894</v>
      </c>
      <c r="B484" t="s">
        <v>895</v>
      </c>
      <c r="C484" t="s">
        <v>105</v>
      </c>
      <c r="D484" t="s">
        <v>927</v>
      </c>
    </row>
  </sheetData>
  <autoFilter ref="A1:D484" xr:uid="{3E4ECD08-91B8-4C90-97D4-AD2F02E48145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ACADFBEBCD4141AFB8758D996F8DB7" ma:contentTypeVersion="18" ma:contentTypeDescription="Crie um novo documento." ma:contentTypeScope="" ma:versionID="c9ef4139ce720f1dfab7732d077ea653">
  <xsd:schema xmlns:xsd="http://www.w3.org/2001/XMLSchema" xmlns:xs="http://www.w3.org/2001/XMLSchema" xmlns:p="http://schemas.microsoft.com/office/2006/metadata/properties" xmlns:ns3="99434254-182e-4f6a-b94a-0d1661e55613" xmlns:ns4="0104d6f7-3b21-4d2d-a397-2fe23dcc3765" targetNamespace="http://schemas.microsoft.com/office/2006/metadata/properties" ma:root="true" ma:fieldsID="b17a3d0279f02f86cfa3f9073d34bb59" ns3:_="" ns4:_="">
    <xsd:import namespace="99434254-182e-4f6a-b94a-0d1661e55613"/>
    <xsd:import namespace="0104d6f7-3b21-4d2d-a397-2fe23dcc37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34254-182e-4f6a-b94a-0d1661e55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d6f7-3b21-4d2d-a397-2fe23dcc37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434254-182e-4f6a-b94a-0d1661e556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3B304-2E0B-4CB2-A694-EFC88AA5A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34254-182e-4f6a-b94a-0d1661e55613"/>
    <ds:schemaRef ds:uri="0104d6f7-3b21-4d2d-a397-2fe23dcc37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9E6B35-4D66-4C41-8AF3-E225287FDAE2}">
  <ds:schemaRefs>
    <ds:schemaRef ds:uri="http://purl.org/dc/dcmitype/"/>
    <ds:schemaRef ds:uri="99434254-182e-4f6a-b94a-0d1661e55613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0104d6f7-3b21-4d2d-a397-2fe23dcc376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BA65EA-7EAE-42CB-B870-3120D0A3D4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1ª ano</vt:lpstr>
      <vt:lpstr>2º  ano </vt:lpstr>
      <vt:lpstr>3º ano </vt:lpstr>
      <vt:lpstr>4ºano</vt:lpstr>
      <vt:lpstr>5º ano</vt:lpstr>
      <vt:lpstr>6º ano</vt:lpstr>
      <vt:lpstr>7º ano</vt:lpstr>
      <vt:lpstr>8º ano</vt:lpstr>
      <vt:lpstr>9º ano</vt:lpstr>
      <vt:lpstr>1ª Série</vt:lpstr>
      <vt:lpstr>2ª Série</vt:lpstr>
      <vt:lpstr>3ª Série</vt:lpstr>
      <vt:lpstr>base ef</vt:lpstr>
      <vt:lpstr>base em</vt:lpstr>
      <vt:lpstr>BASE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BERTUZZO LIMA</dc:creator>
  <cp:lastModifiedBy>Marcos Vinicius Afonso Junior</cp:lastModifiedBy>
  <dcterms:created xsi:type="dcterms:W3CDTF">2026-03-26T00:15:47Z</dcterms:created>
  <dcterms:modified xsi:type="dcterms:W3CDTF">2026-03-26T02:45:41Z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0x010100D4ACADFBEBCD4141AFB8758D996F8DB7</vt:lpwstr>
  </property>
</Properties>
</file>